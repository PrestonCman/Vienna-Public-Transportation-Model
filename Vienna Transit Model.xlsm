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yton\Documents\Classes S4-5\"/>
    </mc:Choice>
  </mc:AlternateContent>
  <xr:revisionPtr revIDLastSave="0" documentId="13_ncr:1_{8A4CB5C6-D7E9-4FF5-B852-E0815517874C}" xr6:coauthVersionLast="43" xr6:coauthVersionMax="43" xr10:uidLastSave="{00000000-0000-0000-0000-000000000000}"/>
  <bookViews>
    <workbookView xWindow="-108" yWindow="-108" windowWidth="23256" windowHeight="12576" xr2:uid="{9953E14C-9696-4C96-BCA9-D9AC340EC263}"/>
  </bookViews>
  <sheets>
    <sheet name="Sheet1" sheetId="1" r:id="rId1"/>
  </sheets>
  <definedNames>
    <definedName name="solver_adj" localSheetId="0" hidden="1">Sheet1!$N$5:$N$42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Sheet1!$E$5:$E$17</definedName>
    <definedName name="solver_lhs2" localSheetId="0" hidden="1">Sheet1!$N$5:$N$42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Sheet1!$D$24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4</definedName>
    <definedName name="solver_rhs1" localSheetId="0" hidden="1">Sheet1!$F$5:$F$17</definedName>
    <definedName name="solver_rhs2" localSheetId="0" hidden="1">integer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" l="1"/>
  <c r="O43" i="1"/>
  <c r="Q43" i="1"/>
  <c r="R43" i="1"/>
  <c r="M43" i="1"/>
  <c r="D27" i="1" l="1"/>
  <c r="D30" i="1"/>
  <c r="D24" i="1" l="1"/>
  <c r="G17" i="1" l="1"/>
  <c r="G15" i="1"/>
  <c r="G16" i="1"/>
  <c r="G14" i="1"/>
  <c r="G13" i="1"/>
  <c r="E5" i="1"/>
  <c r="H13" i="1" l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4" i="1"/>
  <c r="O25" i="1"/>
  <c r="O23" i="1"/>
  <c r="O22" i="1"/>
  <c r="O21" i="1"/>
  <c r="O20" i="1"/>
  <c r="O19" i="1"/>
  <c r="O18" i="1"/>
  <c r="O17" i="1"/>
  <c r="O16" i="1"/>
  <c r="O15" i="1"/>
  <c r="O13" i="1"/>
  <c r="O14" i="1"/>
  <c r="O12" i="1"/>
  <c r="O8" i="1"/>
  <c r="O11" i="1"/>
  <c r="O9" i="1"/>
  <c r="O10" i="1"/>
  <c r="O7" i="1"/>
  <c r="O6" i="1"/>
  <c r="O5" i="1"/>
  <c r="L5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D21" i="1"/>
  <c r="D33" i="1" s="1"/>
  <c r="E15" i="1" l="1"/>
  <c r="E11" i="1"/>
  <c r="E7" i="1"/>
  <c r="E14" i="1"/>
  <c r="E10" i="1"/>
  <c r="E6" i="1"/>
  <c r="E17" i="1"/>
  <c r="E13" i="1"/>
  <c r="E9" i="1"/>
  <c r="E16" i="1"/>
  <c r="E12" i="1"/>
  <c r="E8" i="1"/>
  <c r="H21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J5" i="1"/>
  <c r="H22" i="1" l="1" a="1"/>
  <c r="H22" i="1" s="1"/>
  <c r="G21" i="1" s="1" a="1"/>
  <c r="G21" i="1" s="1"/>
  <c r="H23" i="1" l="1" a="1"/>
  <c r="H23" i="1" s="1"/>
  <c r="G22" i="1" a="1"/>
  <c r="G22" i="1" s="1"/>
  <c r="H24" i="1" l="1" a="1"/>
  <c r="H24" i="1" s="1"/>
  <c r="G23" i="1" a="1"/>
  <c r="G23" i="1" s="1"/>
  <c r="H25" i="1" l="1" a="1"/>
  <c r="H25" i="1" s="1"/>
  <c r="G24" i="1" a="1"/>
  <c r="G24" i="1" s="1"/>
  <c r="H26" i="1" l="1" a="1"/>
  <c r="H26" i="1" s="1"/>
  <c r="G25" i="1" a="1"/>
  <c r="G25" i="1" s="1"/>
  <c r="H27" i="1" l="1" a="1"/>
  <c r="H27" i="1" s="1"/>
  <c r="G27" i="1" s="1"/>
  <c r="G26" i="1" a="1"/>
  <c r="G26" i="1" s="1"/>
  <c r="H28" i="1" l="1" a="1"/>
  <c r="H28" i="1" s="1"/>
  <c r="H29" i="1" l="1" a="1"/>
  <c r="H29" i="1" s="1"/>
  <c r="G28" i="1"/>
  <c r="H30" i="1" l="1" a="1"/>
  <c r="H30" i="1" s="1"/>
  <c r="G29" i="1"/>
  <c r="H31" i="1" l="1" a="1"/>
  <c r="H31" i="1" s="1"/>
  <c r="G30" i="1"/>
  <c r="H32" i="1" l="1" a="1"/>
  <c r="H32" i="1" s="1"/>
  <c r="G31" i="1"/>
  <c r="H33" i="1" l="1" a="1"/>
  <c r="H33" i="1" s="1"/>
  <c r="G32" i="1"/>
  <c r="H34" i="1" l="1" a="1"/>
  <c r="H34" i="1" s="1"/>
  <c r="G33" i="1"/>
  <c r="H35" i="1" l="1" a="1"/>
  <c r="H35" i="1" s="1"/>
  <c r="G34" i="1"/>
  <c r="H36" i="1" l="1" a="1"/>
  <c r="H36" i="1" s="1"/>
  <c r="G35" i="1"/>
</calcChain>
</file>

<file path=xl/sharedStrings.xml><?xml version="1.0" encoding="utf-8"?>
<sst xmlns="http://schemas.openxmlformats.org/spreadsheetml/2006/main" count="44" uniqueCount="36">
  <si>
    <t>Node</t>
  </si>
  <si>
    <t>Name</t>
  </si>
  <si>
    <t>Langenfeldg</t>
  </si>
  <si>
    <t>Karlsplatz</t>
  </si>
  <si>
    <t>LandstraBe</t>
  </si>
  <si>
    <t>Stephensplatz</t>
  </si>
  <si>
    <t>Volkstheeter</t>
  </si>
  <si>
    <t>Westbahnhof</t>
  </si>
  <si>
    <t>Schwedenplatz</t>
  </si>
  <si>
    <t>Praterstern</t>
  </si>
  <si>
    <t>Schottenring</t>
  </si>
  <si>
    <t>Spittelau</t>
  </si>
  <si>
    <t>RoBauer Lande</t>
  </si>
  <si>
    <t>Schonbrunn</t>
  </si>
  <si>
    <t>Kragan</t>
  </si>
  <si>
    <t>To/From</t>
  </si>
  <si>
    <t>From</t>
  </si>
  <si>
    <t>To</t>
  </si>
  <si>
    <t># Stops</t>
  </si>
  <si>
    <t>Net Flow</t>
  </si>
  <si>
    <t>Path Taken</t>
  </si>
  <si>
    <t>Total Distance</t>
  </si>
  <si>
    <t>Time (m)</t>
  </si>
  <si>
    <t>Total Time (m)</t>
  </si>
  <si>
    <t>U-Lines</t>
  </si>
  <si>
    <t>Lines Used</t>
  </si>
  <si>
    <t>Total Transfers</t>
  </si>
  <si>
    <t>Crowding PM</t>
  </si>
  <si>
    <t>Crowding AM</t>
  </si>
  <si>
    <t>Total Crowd (P) (Weighted)</t>
  </si>
  <si>
    <t>Total Crowd (A) (Weighted)</t>
  </si>
  <si>
    <t>Weight</t>
  </si>
  <si>
    <t>Averages:</t>
  </si>
  <si>
    <t>N/A</t>
  </si>
  <si>
    <t>Total Weighted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</si>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</sst>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1" fillId="2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16" borderId="1" xfId="0" applyFont="1" applyFill="1" applyBorder="1" applyAlignment="1">
      <alignment wrapText="1"/>
    </xf>
    <xf numFmtId="0" fontId="2" fillId="16" borderId="1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7" borderId="1" xfId="0" applyFill="1" applyBorder="1" applyAlignment="1">
      <alignment horizontal="center" vertical="center"/>
    </xf>
    <xf numFmtId="0" fontId="1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;;;"/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;;;"/>
    </dxf>
    <dxf>
      <fill>
        <patternFill>
          <bgColor rgb="FFFF0000"/>
        </patternFill>
      </fill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4</xdr:row>
      <xdr:rowOff>22860</xdr:rowOff>
    </xdr:from>
    <xdr:to>
      <xdr:col>0</xdr:col>
      <xdr:colOff>556260</xdr:colOff>
      <xdr:row>4</xdr:row>
      <xdr:rowOff>167640</xdr:rowOff>
    </xdr:to>
    <xdr:sp macro="[0]!oneFro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092904-C540-4280-B396-D9604CC85E18}"/>
            </a:ext>
          </a:extLst>
        </xdr:cNvPr>
        <xdr:cNvSpPr/>
      </xdr:nvSpPr>
      <xdr:spPr>
        <a:xfrm>
          <a:off x="655320" y="75438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4</xdr:row>
      <xdr:rowOff>22860</xdr:rowOff>
    </xdr:from>
    <xdr:to>
      <xdr:col>1</xdr:col>
      <xdr:colOff>571500</xdr:colOff>
      <xdr:row>4</xdr:row>
      <xdr:rowOff>167640</xdr:rowOff>
    </xdr:to>
    <xdr:sp macro="[0]!oneT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ADA724A-954E-4833-B1CE-9165DD32F286}"/>
            </a:ext>
          </a:extLst>
        </xdr:cNvPr>
        <xdr:cNvSpPr/>
      </xdr:nvSpPr>
      <xdr:spPr>
        <a:xfrm>
          <a:off x="60960" y="7543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5</xdr:row>
      <xdr:rowOff>22860</xdr:rowOff>
    </xdr:from>
    <xdr:to>
      <xdr:col>1</xdr:col>
      <xdr:colOff>571500</xdr:colOff>
      <xdr:row>5</xdr:row>
      <xdr:rowOff>167640</xdr:rowOff>
    </xdr:to>
    <xdr:sp macro="[0]!TwoTo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1D1494C-682D-4D73-9101-EA74A2EE49BF}"/>
            </a:ext>
          </a:extLst>
        </xdr:cNvPr>
        <xdr:cNvSpPr/>
      </xdr:nvSpPr>
      <xdr:spPr>
        <a:xfrm>
          <a:off x="60960" y="9372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TwoFro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358FD7C4-19DE-45AB-A4D3-1853BC8D51EA}"/>
            </a:ext>
          </a:extLst>
        </xdr:cNvPr>
        <xdr:cNvSpPr/>
      </xdr:nvSpPr>
      <xdr:spPr>
        <a:xfrm>
          <a:off x="655320" y="93726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ThreeFrom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9CA754C-765D-47C2-A60F-8F05314E5F22}"/>
            </a:ext>
          </a:extLst>
        </xdr:cNvPr>
        <xdr:cNvSpPr/>
      </xdr:nvSpPr>
      <xdr:spPr>
        <a:xfrm>
          <a:off x="655320" y="112014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6</xdr:row>
      <xdr:rowOff>22860</xdr:rowOff>
    </xdr:from>
    <xdr:to>
      <xdr:col>1</xdr:col>
      <xdr:colOff>571500</xdr:colOff>
      <xdr:row>6</xdr:row>
      <xdr:rowOff>167640</xdr:rowOff>
    </xdr:to>
    <xdr:sp macro="[0]!ThreeTo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2B4DD70-EEB8-4369-A8A3-B07C014B4362}"/>
            </a:ext>
          </a:extLst>
        </xdr:cNvPr>
        <xdr:cNvSpPr/>
      </xdr:nvSpPr>
      <xdr:spPr>
        <a:xfrm>
          <a:off x="60960" y="11201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7</xdr:row>
      <xdr:rowOff>22860</xdr:rowOff>
    </xdr:from>
    <xdr:to>
      <xdr:col>1</xdr:col>
      <xdr:colOff>571500</xdr:colOff>
      <xdr:row>7</xdr:row>
      <xdr:rowOff>167640</xdr:rowOff>
    </xdr:to>
    <xdr:sp macro="[0]!FourTo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32AC779-805A-476F-BE6F-AA7C44DEEB2E}"/>
            </a:ext>
          </a:extLst>
        </xdr:cNvPr>
        <xdr:cNvSpPr/>
      </xdr:nvSpPr>
      <xdr:spPr>
        <a:xfrm>
          <a:off x="60960" y="130302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FourFrom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763BC72-80FB-40A9-B1A0-FEFD7695C71B}"/>
            </a:ext>
          </a:extLst>
        </xdr:cNvPr>
        <xdr:cNvSpPr/>
      </xdr:nvSpPr>
      <xdr:spPr>
        <a:xfrm>
          <a:off x="655320" y="130302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oneFrom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D572493B-0F2C-422D-B3DA-F7C4015A4A84}"/>
            </a:ext>
          </a:extLst>
        </xdr:cNvPr>
        <xdr:cNvSpPr/>
      </xdr:nvSpPr>
      <xdr:spPr>
        <a:xfrm>
          <a:off x="655320" y="148590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8</xdr:row>
      <xdr:rowOff>22860</xdr:rowOff>
    </xdr:from>
    <xdr:to>
      <xdr:col>1</xdr:col>
      <xdr:colOff>571500</xdr:colOff>
      <xdr:row>8</xdr:row>
      <xdr:rowOff>167640</xdr:rowOff>
    </xdr:to>
    <xdr:sp macro="[0]!oneTo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440C63A1-3A00-492F-8595-DDA1512F4AF8}"/>
            </a:ext>
          </a:extLst>
        </xdr:cNvPr>
        <xdr:cNvSpPr/>
      </xdr:nvSpPr>
      <xdr:spPr>
        <a:xfrm>
          <a:off x="60960" y="148590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9</xdr:row>
      <xdr:rowOff>22860</xdr:rowOff>
    </xdr:from>
    <xdr:to>
      <xdr:col>1</xdr:col>
      <xdr:colOff>571500</xdr:colOff>
      <xdr:row>9</xdr:row>
      <xdr:rowOff>167640</xdr:rowOff>
    </xdr:to>
    <xdr:sp macro="[0]!TwoTo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B3BEFBC0-1FD8-4CD6-8D4A-1C562DA7E53C}"/>
            </a:ext>
          </a:extLst>
        </xdr:cNvPr>
        <xdr:cNvSpPr/>
      </xdr:nvSpPr>
      <xdr:spPr>
        <a:xfrm>
          <a:off x="60960" y="16687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TwoFrom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19DD3216-F39B-4220-986A-4432AE9BF2E7}"/>
            </a:ext>
          </a:extLst>
        </xdr:cNvPr>
        <xdr:cNvSpPr/>
      </xdr:nvSpPr>
      <xdr:spPr>
        <a:xfrm>
          <a:off x="655320" y="166878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10</xdr:row>
      <xdr:rowOff>22860</xdr:rowOff>
    </xdr:from>
    <xdr:to>
      <xdr:col>0</xdr:col>
      <xdr:colOff>563880</xdr:colOff>
      <xdr:row>10</xdr:row>
      <xdr:rowOff>167640</xdr:rowOff>
    </xdr:to>
    <xdr:sp macro="[0]!oneFrom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CD70BDBD-B8F9-48BF-B9F0-5BB1526ED4FE}"/>
            </a:ext>
          </a:extLst>
        </xdr:cNvPr>
        <xdr:cNvSpPr/>
      </xdr:nvSpPr>
      <xdr:spPr>
        <a:xfrm>
          <a:off x="662940" y="185166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oneTo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B6059FE9-FD82-4FD3-988E-2856BBC33F8F}"/>
            </a:ext>
          </a:extLst>
        </xdr:cNvPr>
        <xdr:cNvSpPr/>
      </xdr:nvSpPr>
      <xdr:spPr>
        <a:xfrm>
          <a:off x="68580" y="18516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TwoTo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C3799DC1-97D0-4BE2-8990-7AE8564354F2}"/>
            </a:ext>
          </a:extLst>
        </xdr:cNvPr>
        <xdr:cNvSpPr/>
      </xdr:nvSpPr>
      <xdr:spPr>
        <a:xfrm>
          <a:off x="68580" y="20345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563880</xdr:colOff>
      <xdr:row>11</xdr:row>
      <xdr:rowOff>167640</xdr:rowOff>
    </xdr:to>
    <xdr:sp macro="[0]!TwoFrom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59AAA0F1-2FD1-47E0-BB25-D73A4DE2C7ED}"/>
            </a:ext>
          </a:extLst>
        </xdr:cNvPr>
        <xdr:cNvSpPr/>
      </xdr:nvSpPr>
      <xdr:spPr>
        <a:xfrm>
          <a:off x="662940" y="203454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12</xdr:row>
      <xdr:rowOff>22860</xdr:rowOff>
    </xdr:from>
    <xdr:to>
      <xdr:col>0</xdr:col>
      <xdr:colOff>563880</xdr:colOff>
      <xdr:row>12</xdr:row>
      <xdr:rowOff>167640</xdr:rowOff>
    </xdr:to>
    <xdr:sp macro="[0]!oneFrom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2E4D0082-D11B-4268-BCA7-4DA8F59278F6}"/>
            </a:ext>
          </a:extLst>
        </xdr:cNvPr>
        <xdr:cNvSpPr/>
      </xdr:nvSpPr>
      <xdr:spPr>
        <a:xfrm>
          <a:off x="662940" y="221742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oneTo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2CED6031-3588-488D-AAE4-DCE0FFF61EBE}"/>
            </a:ext>
          </a:extLst>
        </xdr:cNvPr>
        <xdr:cNvSpPr/>
      </xdr:nvSpPr>
      <xdr:spPr>
        <a:xfrm>
          <a:off x="68580" y="221742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woTo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67C49A5A-DC29-4EDB-86AB-AC18101C4E47}"/>
            </a:ext>
          </a:extLst>
        </xdr:cNvPr>
        <xdr:cNvSpPr/>
      </xdr:nvSpPr>
      <xdr:spPr>
        <a:xfrm>
          <a:off x="68580" y="240030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13</xdr:row>
      <xdr:rowOff>22860</xdr:rowOff>
    </xdr:from>
    <xdr:to>
      <xdr:col>0</xdr:col>
      <xdr:colOff>563880</xdr:colOff>
      <xdr:row>13</xdr:row>
      <xdr:rowOff>167640</xdr:rowOff>
    </xdr:to>
    <xdr:sp macro="[0]!TwoFrom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4F09DA7F-D974-4069-9280-000552C26995}"/>
            </a:ext>
          </a:extLst>
        </xdr:cNvPr>
        <xdr:cNvSpPr/>
      </xdr:nvSpPr>
      <xdr:spPr>
        <a:xfrm>
          <a:off x="662940" y="240030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14</xdr:row>
      <xdr:rowOff>22860</xdr:rowOff>
    </xdr:from>
    <xdr:to>
      <xdr:col>0</xdr:col>
      <xdr:colOff>563880</xdr:colOff>
      <xdr:row>14</xdr:row>
      <xdr:rowOff>167640</xdr:rowOff>
    </xdr:to>
    <xdr:sp macro="[0]!oneFrom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A4925A51-C691-4896-9ACD-1A11D9E5C740}"/>
            </a:ext>
          </a:extLst>
        </xdr:cNvPr>
        <xdr:cNvSpPr/>
      </xdr:nvSpPr>
      <xdr:spPr>
        <a:xfrm>
          <a:off x="662940" y="258318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oneTo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F3378DB4-A329-452A-9DF5-9324B2CD57E5}"/>
            </a:ext>
          </a:extLst>
        </xdr:cNvPr>
        <xdr:cNvSpPr/>
      </xdr:nvSpPr>
      <xdr:spPr>
        <a:xfrm>
          <a:off x="68580" y="25831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oTo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DEAD4F95-3A3E-4ECF-8ADC-1A55E8F1B154}"/>
            </a:ext>
          </a:extLst>
        </xdr:cNvPr>
        <xdr:cNvSpPr/>
      </xdr:nvSpPr>
      <xdr:spPr>
        <a:xfrm>
          <a:off x="68580" y="27660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15</xdr:row>
      <xdr:rowOff>22860</xdr:rowOff>
    </xdr:from>
    <xdr:to>
      <xdr:col>0</xdr:col>
      <xdr:colOff>563880</xdr:colOff>
      <xdr:row>15</xdr:row>
      <xdr:rowOff>167640</xdr:rowOff>
    </xdr:to>
    <xdr:sp macro="[0]!TwoFrom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2143D967-D150-4C83-B978-F1C84E92EC71}"/>
            </a:ext>
          </a:extLst>
        </xdr:cNvPr>
        <xdr:cNvSpPr/>
      </xdr:nvSpPr>
      <xdr:spPr>
        <a:xfrm>
          <a:off x="662940" y="276606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16</xdr:row>
      <xdr:rowOff>22860</xdr:rowOff>
    </xdr:from>
    <xdr:to>
      <xdr:col>1</xdr:col>
      <xdr:colOff>579120</xdr:colOff>
      <xdr:row>16</xdr:row>
      <xdr:rowOff>167640</xdr:rowOff>
    </xdr:to>
    <xdr:sp macro="[0]!thirteenTo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43F4375B-DF83-4CA9-BEF6-C6F9D738E0CD}"/>
            </a:ext>
          </a:extLst>
        </xdr:cNvPr>
        <xdr:cNvSpPr/>
      </xdr:nvSpPr>
      <xdr:spPr>
        <a:xfrm>
          <a:off x="68580" y="29489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16</xdr:row>
      <xdr:rowOff>22860</xdr:rowOff>
    </xdr:from>
    <xdr:to>
      <xdr:col>0</xdr:col>
      <xdr:colOff>563880</xdr:colOff>
      <xdr:row>16</xdr:row>
      <xdr:rowOff>167640</xdr:rowOff>
    </xdr:to>
    <xdr:sp macro="[0]!TwoFrom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id="{81038EFE-11C7-4F21-A367-24719F176C32}"/>
            </a:ext>
          </a:extLst>
        </xdr:cNvPr>
        <xdr:cNvSpPr/>
      </xdr:nvSpPr>
      <xdr:spPr>
        <a:xfrm>
          <a:off x="662940" y="294894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4</xdr:row>
      <xdr:rowOff>22860</xdr:rowOff>
    </xdr:from>
    <xdr:to>
      <xdr:col>1</xdr:col>
      <xdr:colOff>579120</xdr:colOff>
      <xdr:row>4</xdr:row>
      <xdr:rowOff>167640</xdr:rowOff>
    </xdr:to>
    <xdr:sp macro="[0]!oneTo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C6E9A874-737B-4E83-BE7D-4A752925FC23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5</xdr:row>
      <xdr:rowOff>22860</xdr:rowOff>
    </xdr:from>
    <xdr:to>
      <xdr:col>1</xdr:col>
      <xdr:colOff>579120</xdr:colOff>
      <xdr:row>5</xdr:row>
      <xdr:rowOff>167640</xdr:rowOff>
    </xdr:to>
    <xdr:sp macro="[0]!TwoTo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id="{E9261EBA-46CD-4CF3-B8B3-C7BE32F02D34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6</xdr:row>
      <xdr:rowOff>22860</xdr:rowOff>
    </xdr:from>
    <xdr:to>
      <xdr:col>1</xdr:col>
      <xdr:colOff>579120</xdr:colOff>
      <xdr:row>6</xdr:row>
      <xdr:rowOff>167640</xdr:rowOff>
    </xdr:to>
    <xdr:sp macro="[0]!ThreeTo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D94276CF-4CE4-451B-BFB5-26215AC4CD59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7</xdr:row>
      <xdr:rowOff>22860</xdr:rowOff>
    </xdr:from>
    <xdr:to>
      <xdr:col>1</xdr:col>
      <xdr:colOff>579120</xdr:colOff>
      <xdr:row>7</xdr:row>
      <xdr:rowOff>167640</xdr:rowOff>
    </xdr:to>
    <xdr:sp macro="[0]!FourTo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4029AD94-CE38-4F38-A93E-74ABDCB98E9A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8</xdr:row>
      <xdr:rowOff>22860</xdr:rowOff>
    </xdr:from>
    <xdr:to>
      <xdr:col>1</xdr:col>
      <xdr:colOff>579120</xdr:colOff>
      <xdr:row>8</xdr:row>
      <xdr:rowOff>167640</xdr:rowOff>
    </xdr:to>
    <xdr:sp macro="[0]!TwoTo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E6632546-E8EF-4AB3-84C5-12F6752FA1BD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9</xdr:row>
      <xdr:rowOff>22860</xdr:rowOff>
    </xdr:from>
    <xdr:to>
      <xdr:col>1</xdr:col>
      <xdr:colOff>579120</xdr:colOff>
      <xdr:row>9</xdr:row>
      <xdr:rowOff>167640</xdr:rowOff>
    </xdr:to>
    <xdr:sp macro="[0]!TwoTo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48D61A11-8126-45CE-B6D7-2BE694E8F13D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TwoTo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FD840D77-BE8D-476E-81B8-E19E65F5B765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TwoTo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6EE2BE35-DC3A-4DFB-AF8B-A0E95DC032DB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TwoTo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B0519A0E-2086-4EC0-96BE-72AA4F6F4B13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woTo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93E74EDB-9E0B-49E2-BF51-B11ADEA17CAE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TwoTo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CC8895DF-AB18-417C-B7E5-E66D096CE57F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oTo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2AE2AE4E-D3CB-4C29-B61E-0ED6AD82FD74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4</xdr:row>
      <xdr:rowOff>22860</xdr:rowOff>
    </xdr:from>
    <xdr:to>
      <xdr:col>1</xdr:col>
      <xdr:colOff>579120</xdr:colOff>
      <xdr:row>4</xdr:row>
      <xdr:rowOff>167640</xdr:rowOff>
    </xdr:to>
    <xdr:sp macro="[0]!oneTo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5CE84485-AE25-49A5-9569-FFC05D30017C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5</xdr:row>
      <xdr:rowOff>22860</xdr:rowOff>
    </xdr:from>
    <xdr:to>
      <xdr:col>1</xdr:col>
      <xdr:colOff>579120</xdr:colOff>
      <xdr:row>5</xdr:row>
      <xdr:rowOff>167640</xdr:rowOff>
    </xdr:to>
    <xdr:sp macro="[0]!TwoTo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558EF548-082C-4602-9238-D585F9413C2C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6</xdr:row>
      <xdr:rowOff>22860</xdr:rowOff>
    </xdr:from>
    <xdr:to>
      <xdr:col>1</xdr:col>
      <xdr:colOff>579120</xdr:colOff>
      <xdr:row>6</xdr:row>
      <xdr:rowOff>167640</xdr:rowOff>
    </xdr:to>
    <xdr:sp macro="[0]!ThreeTo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E254B48D-D43B-4913-B0BD-981293623C6B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7</xdr:row>
      <xdr:rowOff>22860</xdr:rowOff>
    </xdr:from>
    <xdr:to>
      <xdr:col>1</xdr:col>
      <xdr:colOff>579120</xdr:colOff>
      <xdr:row>7</xdr:row>
      <xdr:rowOff>167640</xdr:rowOff>
    </xdr:to>
    <xdr:sp macro="[0]!FourTo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BDFAA07A-535D-4434-B156-DB69B5CF69E8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8</xdr:row>
      <xdr:rowOff>22860</xdr:rowOff>
    </xdr:from>
    <xdr:to>
      <xdr:col>1</xdr:col>
      <xdr:colOff>579120</xdr:colOff>
      <xdr:row>8</xdr:row>
      <xdr:rowOff>167640</xdr:rowOff>
    </xdr:to>
    <xdr:sp macro="[0]!FiveTo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AFBAC1A8-C9A2-47F4-87E9-EBABBEF7D9FE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9</xdr:row>
      <xdr:rowOff>22860</xdr:rowOff>
    </xdr:from>
    <xdr:to>
      <xdr:col>1</xdr:col>
      <xdr:colOff>579120</xdr:colOff>
      <xdr:row>9</xdr:row>
      <xdr:rowOff>167640</xdr:rowOff>
    </xdr:to>
    <xdr:sp macro="[0]!SixTo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66BDC6D0-8613-4FE9-957F-B6173A23FEC2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SevenTo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E1D8882B-60CD-4EA4-BCC5-04FAE02E7B72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EightTo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99A674A7-1705-44C0-811A-93A4D66B6427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NineTo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4082D9E7-9419-494C-AEC5-C861D7D784C5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enTo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10762F12-A600-43CB-B225-675BC6CC8775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ElevenTo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1409A976-0CD2-435A-AF81-495629D48708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elveTo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C2C9833A-F1AE-4DA3-A47A-5F3D3C8F320D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oneFrom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8D5B4C08-6229-49AA-B8E9-DC44CC678A2D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oneFrom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B8B95A96-2574-4E50-8640-9312AE5D30B1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oneFrom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BC36BB09-CE92-4A46-B464-70CE2D365E8A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oneFrom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FEE0D6AF-F5D6-4A57-933D-F969A8781B67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oneFrom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B9898CD3-1E39-4242-A342-C1CC84701460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10</xdr:row>
      <xdr:rowOff>22860</xdr:rowOff>
    </xdr:from>
    <xdr:to>
      <xdr:col>0</xdr:col>
      <xdr:colOff>556260</xdr:colOff>
      <xdr:row>10</xdr:row>
      <xdr:rowOff>167640</xdr:rowOff>
    </xdr:to>
    <xdr:sp macro="[0]!oneFrom" textlink="">
      <xdr:nvSpPr>
        <xdr:cNvPr id="101" name="Rectangle: Rounded Corners 100">
          <a:extLst>
            <a:ext uri="{FF2B5EF4-FFF2-40B4-BE49-F238E27FC236}">
              <a16:creationId xmlns:a16="http://schemas.microsoft.com/office/drawing/2014/main" id="{FAB39AB7-EA11-423A-8C5A-F561F5F245B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11</xdr:row>
      <xdr:rowOff>22860</xdr:rowOff>
    </xdr:from>
    <xdr:to>
      <xdr:col>0</xdr:col>
      <xdr:colOff>556260</xdr:colOff>
      <xdr:row>11</xdr:row>
      <xdr:rowOff>167640</xdr:rowOff>
    </xdr:to>
    <xdr:sp macro="[0]!oneFrom" textlink="">
      <xdr:nvSpPr>
        <xdr:cNvPr id="102" name="Rectangle: Rounded Corners 101">
          <a:extLst>
            <a:ext uri="{FF2B5EF4-FFF2-40B4-BE49-F238E27FC236}">
              <a16:creationId xmlns:a16="http://schemas.microsoft.com/office/drawing/2014/main" id="{2395AE30-8B58-484E-A826-B4A6C26C9327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22860</xdr:rowOff>
    </xdr:from>
    <xdr:to>
      <xdr:col>0</xdr:col>
      <xdr:colOff>556260</xdr:colOff>
      <xdr:row>12</xdr:row>
      <xdr:rowOff>167640</xdr:rowOff>
    </xdr:to>
    <xdr:sp macro="[0]!oneFrom" textlink="">
      <xdr:nvSpPr>
        <xdr:cNvPr id="103" name="Rectangle: Rounded Corners 102">
          <a:extLst>
            <a:ext uri="{FF2B5EF4-FFF2-40B4-BE49-F238E27FC236}">
              <a16:creationId xmlns:a16="http://schemas.microsoft.com/office/drawing/2014/main" id="{F6EEB3C0-F2F6-406B-A0FE-E68505BEFCFF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13</xdr:row>
      <xdr:rowOff>22860</xdr:rowOff>
    </xdr:from>
    <xdr:to>
      <xdr:col>0</xdr:col>
      <xdr:colOff>556260</xdr:colOff>
      <xdr:row>13</xdr:row>
      <xdr:rowOff>167640</xdr:rowOff>
    </xdr:to>
    <xdr:sp macro="[0]!oneFrom" textlink="">
      <xdr:nvSpPr>
        <xdr:cNvPr id="104" name="Rectangle: Rounded Corners 103">
          <a:extLst>
            <a:ext uri="{FF2B5EF4-FFF2-40B4-BE49-F238E27FC236}">
              <a16:creationId xmlns:a16="http://schemas.microsoft.com/office/drawing/2014/main" id="{F777E3EA-B765-44B6-B61E-B189CC0B8F6B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14</xdr:row>
      <xdr:rowOff>22860</xdr:rowOff>
    </xdr:from>
    <xdr:to>
      <xdr:col>0</xdr:col>
      <xdr:colOff>556260</xdr:colOff>
      <xdr:row>14</xdr:row>
      <xdr:rowOff>167640</xdr:rowOff>
    </xdr:to>
    <xdr:sp macro="[0]!oneFrom" textlink="">
      <xdr:nvSpPr>
        <xdr:cNvPr id="105" name="Rectangle: Rounded Corners 104">
          <a:extLst>
            <a:ext uri="{FF2B5EF4-FFF2-40B4-BE49-F238E27FC236}">
              <a16:creationId xmlns:a16="http://schemas.microsoft.com/office/drawing/2014/main" id="{65A259B0-80F9-475F-BE56-11688453E0D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15</xdr:row>
      <xdr:rowOff>22860</xdr:rowOff>
    </xdr:from>
    <xdr:to>
      <xdr:col>0</xdr:col>
      <xdr:colOff>556260</xdr:colOff>
      <xdr:row>15</xdr:row>
      <xdr:rowOff>167640</xdr:rowOff>
    </xdr:to>
    <xdr:sp macro="[0]!oneFrom" textlink="">
      <xdr:nvSpPr>
        <xdr:cNvPr id="106" name="Rectangle: Rounded Corners 105">
          <a:extLst>
            <a:ext uri="{FF2B5EF4-FFF2-40B4-BE49-F238E27FC236}">
              <a16:creationId xmlns:a16="http://schemas.microsoft.com/office/drawing/2014/main" id="{02D9F78A-F324-4B85-9E85-4BA921EA4A66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16</xdr:row>
      <xdr:rowOff>22860</xdr:rowOff>
    </xdr:from>
    <xdr:to>
      <xdr:col>0</xdr:col>
      <xdr:colOff>556260</xdr:colOff>
      <xdr:row>16</xdr:row>
      <xdr:rowOff>167640</xdr:rowOff>
    </xdr:to>
    <xdr:sp macro="[0]!oneFrom" textlink="">
      <xdr:nvSpPr>
        <xdr:cNvPr id="107" name="Rectangle: Rounded Corners 106">
          <a:extLst>
            <a:ext uri="{FF2B5EF4-FFF2-40B4-BE49-F238E27FC236}">
              <a16:creationId xmlns:a16="http://schemas.microsoft.com/office/drawing/2014/main" id="{10A52044-118D-4F07-B432-B4B0A0EE62F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TwoFrom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40A8DF8A-4A88-4644-9DD8-678691CA80F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ThreeFrom" textlink="">
      <xdr:nvSpPr>
        <xdr:cNvPr id="109" name="Rectangle: Rounded Corners 108">
          <a:extLst>
            <a:ext uri="{FF2B5EF4-FFF2-40B4-BE49-F238E27FC236}">
              <a16:creationId xmlns:a16="http://schemas.microsoft.com/office/drawing/2014/main" id="{029982A3-91DC-442E-8D54-E9A309137B56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FourFrom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id="{013D68A4-5D40-4597-B576-93C2BCEFD1BA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FiveFrom" textlink="">
      <xdr:nvSpPr>
        <xdr:cNvPr id="111" name="Rectangle: Rounded Corners 110">
          <a:extLst>
            <a:ext uri="{FF2B5EF4-FFF2-40B4-BE49-F238E27FC236}">
              <a16:creationId xmlns:a16="http://schemas.microsoft.com/office/drawing/2014/main" id="{69D5C115-7893-4291-81A9-D09144B00DD9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SixFrom" textlink="">
      <xdr:nvSpPr>
        <xdr:cNvPr id="112" name="Rectangle: Rounded Corners 111">
          <a:extLst>
            <a:ext uri="{FF2B5EF4-FFF2-40B4-BE49-F238E27FC236}">
              <a16:creationId xmlns:a16="http://schemas.microsoft.com/office/drawing/2014/main" id="{B3EE82B9-BBC0-4AF9-B140-74CF474C559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10</xdr:row>
      <xdr:rowOff>22860</xdr:rowOff>
    </xdr:from>
    <xdr:to>
      <xdr:col>0</xdr:col>
      <xdr:colOff>556260</xdr:colOff>
      <xdr:row>10</xdr:row>
      <xdr:rowOff>167640</xdr:rowOff>
    </xdr:to>
    <xdr:sp macro="[0]!SevenFrom" textlink="">
      <xdr:nvSpPr>
        <xdr:cNvPr id="113" name="Rectangle: Rounded Corners 112">
          <a:extLst>
            <a:ext uri="{FF2B5EF4-FFF2-40B4-BE49-F238E27FC236}">
              <a16:creationId xmlns:a16="http://schemas.microsoft.com/office/drawing/2014/main" id="{4331101B-B97C-47C5-8ADA-9EB6EFA5F2A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11</xdr:row>
      <xdr:rowOff>22860</xdr:rowOff>
    </xdr:from>
    <xdr:to>
      <xdr:col>0</xdr:col>
      <xdr:colOff>556260</xdr:colOff>
      <xdr:row>11</xdr:row>
      <xdr:rowOff>167640</xdr:rowOff>
    </xdr:to>
    <xdr:sp macro="[0]!EightFrom" textlink="">
      <xdr:nvSpPr>
        <xdr:cNvPr id="114" name="Rectangle: Rounded Corners 113">
          <a:extLst>
            <a:ext uri="{FF2B5EF4-FFF2-40B4-BE49-F238E27FC236}">
              <a16:creationId xmlns:a16="http://schemas.microsoft.com/office/drawing/2014/main" id="{BEF169A2-0C33-475C-ACE9-E57BABC90D4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22860</xdr:rowOff>
    </xdr:from>
    <xdr:to>
      <xdr:col>0</xdr:col>
      <xdr:colOff>556260</xdr:colOff>
      <xdr:row>12</xdr:row>
      <xdr:rowOff>167640</xdr:rowOff>
    </xdr:to>
    <xdr:sp macro="[0]!NineFrom" textlink="">
      <xdr:nvSpPr>
        <xdr:cNvPr id="115" name="Rectangle: Rounded Corners 114">
          <a:extLst>
            <a:ext uri="{FF2B5EF4-FFF2-40B4-BE49-F238E27FC236}">
              <a16:creationId xmlns:a16="http://schemas.microsoft.com/office/drawing/2014/main" id="{1E71A2A3-3B8B-4D92-9F1F-B9ABD246F83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13</xdr:row>
      <xdr:rowOff>22860</xdr:rowOff>
    </xdr:from>
    <xdr:to>
      <xdr:col>0</xdr:col>
      <xdr:colOff>556260</xdr:colOff>
      <xdr:row>13</xdr:row>
      <xdr:rowOff>167640</xdr:rowOff>
    </xdr:to>
    <xdr:sp macro="[0]!TenFrom" textlink="">
      <xdr:nvSpPr>
        <xdr:cNvPr id="116" name="Rectangle: Rounded Corners 115">
          <a:extLst>
            <a:ext uri="{FF2B5EF4-FFF2-40B4-BE49-F238E27FC236}">
              <a16:creationId xmlns:a16="http://schemas.microsoft.com/office/drawing/2014/main" id="{9C9511DA-DE60-4A86-8531-765BB2163103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14</xdr:row>
      <xdr:rowOff>22860</xdr:rowOff>
    </xdr:from>
    <xdr:to>
      <xdr:col>0</xdr:col>
      <xdr:colOff>556260</xdr:colOff>
      <xdr:row>14</xdr:row>
      <xdr:rowOff>167640</xdr:rowOff>
    </xdr:to>
    <xdr:sp macro="[0]!ElevenFrom" textlink="">
      <xdr:nvSpPr>
        <xdr:cNvPr id="117" name="Rectangle: Rounded Corners 116">
          <a:extLst>
            <a:ext uri="{FF2B5EF4-FFF2-40B4-BE49-F238E27FC236}">
              <a16:creationId xmlns:a16="http://schemas.microsoft.com/office/drawing/2014/main" id="{423DCC81-C175-4553-ADF4-2713BA80E1AD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15</xdr:row>
      <xdr:rowOff>22860</xdr:rowOff>
    </xdr:from>
    <xdr:to>
      <xdr:col>0</xdr:col>
      <xdr:colOff>556260</xdr:colOff>
      <xdr:row>15</xdr:row>
      <xdr:rowOff>167640</xdr:rowOff>
    </xdr:to>
    <xdr:sp macro="[0]!TwelveFrom" textlink="">
      <xdr:nvSpPr>
        <xdr:cNvPr id="118" name="Rectangle: Rounded Corners 117">
          <a:extLst>
            <a:ext uri="{FF2B5EF4-FFF2-40B4-BE49-F238E27FC236}">
              <a16:creationId xmlns:a16="http://schemas.microsoft.com/office/drawing/2014/main" id="{6F85DA24-15C0-41A7-8D83-47FAB90DE46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16</xdr:row>
      <xdr:rowOff>22860</xdr:rowOff>
    </xdr:from>
    <xdr:to>
      <xdr:col>0</xdr:col>
      <xdr:colOff>556260</xdr:colOff>
      <xdr:row>16</xdr:row>
      <xdr:rowOff>167640</xdr:rowOff>
    </xdr:to>
    <xdr:sp macro="[0]!thirteenFrom" textlink="">
      <xdr:nvSpPr>
        <xdr:cNvPr id="119" name="Rectangle: Rounded Corners 118">
          <a:extLst>
            <a:ext uri="{FF2B5EF4-FFF2-40B4-BE49-F238E27FC236}">
              <a16:creationId xmlns:a16="http://schemas.microsoft.com/office/drawing/2014/main" id="{720C75C9-C38A-4D31-8062-3591CF1307C1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66582</xdr:colOff>
      <xdr:row>19</xdr:row>
      <xdr:rowOff>36990</xdr:rowOff>
    </xdr:from>
    <xdr:to>
      <xdr:col>2</xdr:col>
      <xdr:colOff>540058</xdr:colOff>
      <xdr:row>20</xdr:row>
      <xdr:rowOff>162757</xdr:rowOff>
    </xdr:to>
    <xdr:sp macro="[0]!runSimulation" textlink="">
      <xdr:nvSpPr>
        <xdr:cNvPr id="120" name="Rectangle: Rounded Corners 119">
          <a:extLst>
            <a:ext uri="{FF2B5EF4-FFF2-40B4-BE49-F238E27FC236}">
              <a16:creationId xmlns:a16="http://schemas.microsoft.com/office/drawing/2014/main" id="{BF761078-A9ED-4F59-AED8-DC1388CE3DA5}"/>
            </a:ext>
          </a:extLst>
        </xdr:cNvPr>
        <xdr:cNvSpPr/>
      </xdr:nvSpPr>
      <xdr:spPr>
        <a:xfrm>
          <a:off x="673223" y="3551068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</a:t>
          </a:r>
          <a:r>
            <a:rPr lang="en-US" sz="1000"/>
            <a:t>Distance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1</xdr:col>
      <xdr:colOff>66582</xdr:colOff>
      <xdr:row>22</xdr:row>
      <xdr:rowOff>29592</xdr:rowOff>
    </xdr:from>
    <xdr:to>
      <xdr:col>2</xdr:col>
      <xdr:colOff>540058</xdr:colOff>
      <xdr:row>23</xdr:row>
      <xdr:rowOff>155359</xdr:rowOff>
    </xdr:to>
    <xdr:sp macro="[0]!timeSimulation" textlink="">
      <xdr:nvSpPr>
        <xdr:cNvPr id="121" name="Rectangle: Rounded Corners 120">
          <a:extLst>
            <a:ext uri="{FF2B5EF4-FFF2-40B4-BE49-F238E27FC236}">
              <a16:creationId xmlns:a16="http://schemas.microsoft.com/office/drawing/2014/main" id="{C216B70E-617A-49EA-AA59-C43201A7ED14}"/>
            </a:ext>
          </a:extLst>
        </xdr:cNvPr>
        <xdr:cNvSpPr/>
      </xdr:nvSpPr>
      <xdr:spPr>
        <a:xfrm>
          <a:off x="673223" y="4098524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</a:t>
          </a:r>
          <a:r>
            <a:rPr lang="en-US" sz="1000"/>
            <a:t>Time</a:t>
          </a:r>
          <a:r>
            <a:rPr lang="en-US" sz="1000" baseline="0"/>
            <a:t> Simulation</a:t>
          </a:r>
        </a:p>
      </xdr:txBody>
    </xdr:sp>
    <xdr:clientData/>
  </xdr:twoCellAnchor>
  <xdr:twoCellAnchor>
    <xdr:from>
      <xdr:col>1</xdr:col>
      <xdr:colOff>66582</xdr:colOff>
      <xdr:row>25</xdr:row>
      <xdr:rowOff>29592</xdr:rowOff>
    </xdr:from>
    <xdr:to>
      <xdr:col>2</xdr:col>
      <xdr:colOff>540058</xdr:colOff>
      <xdr:row>26</xdr:row>
      <xdr:rowOff>155359</xdr:rowOff>
    </xdr:to>
    <xdr:sp macro="[0]!pmCrowd" textlink="">
      <xdr:nvSpPr>
        <xdr:cNvPr id="122" name="Rectangle: Rounded Corners 121">
          <a:extLst>
            <a:ext uri="{FF2B5EF4-FFF2-40B4-BE49-F238E27FC236}">
              <a16:creationId xmlns:a16="http://schemas.microsoft.com/office/drawing/2014/main" id="{C67A7EEA-1ECE-4348-8E6D-3FCF2573CAB0}"/>
            </a:ext>
          </a:extLst>
        </xdr:cNvPr>
        <xdr:cNvSpPr/>
      </xdr:nvSpPr>
      <xdr:spPr>
        <a:xfrm>
          <a:off x="673223" y="4098524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</a:t>
          </a:r>
          <a:r>
            <a:rPr lang="en-US" sz="1000"/>
            <a:t>Crowd (P) Simulation</a:t>
          </a:r>
        </a:p>
      </xdr:txBody>
    </xdr:sp>
    <xdr:clientData/>
  </xdr:twoCellAnchor>
  <xdr:twoCellAnchor>
    <xdr:from>
      <xdr:col>1</xdr:col>
      <xdr:colOff>66582</xdr:colOff>
      <xdr:row>28</xdr:row>
      <xdr:rowOff>29592</xdr:rowOff>
    </xdr:from>
    <xdr:to>
      <xdr:col>2</xdr:col>
      <xdr:colOff>540058</xdr:colOff>
      <xdr:row>29</xdr:row>
      <xdr:rowOff>155359</xdr:rowOff>
    </xdr:to>
    <xdr:sp macro="[0]!amCrowd" textlink="">
      <xdr:nvSpPr>
        <xdr:cNvPr id="123" name="Rectangle: Rounded Corners 122">
          <a:extLst>
            <a:ext uri="{FF2B5EF4-FFF2-40B4-BE49-F238E27FC236}">
              <a16:creationId xmlns:a16="http://schemas.microsoft.com/office/drawing/2014/main" id="{F24FE61E-AE17-4CE2-A86A-C223004758B1}"/>
            </a:ext>
          </a:extLst>
        </xdr:cNvPr>
        <xdr:cNvSpPr/>
      </xdr:nvSpPr>
      <xdr:spPr>
        <a:xfrm>
          <a:off x="673223" y="4653378"/>
          <a:ext cx="1080117" cy="310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</a:t>
          </a:r>
          <a:r>
            <a:rPr lang="en-US" sz="1000"/>
            <a:t>Crowd</a:t>
          </a:r>
          <a:r>
            <a:rPr lang="en-US" sz="1000" baseline="0"/>
            <a:t> (A) Simulation</a:t>
          </a:r>
        </a:p>
      </xdr:txBody>
    </xdr:sp>
    <xdr:clientData/>
  </xdr:twoCellAnchor>
  <xdr:twoCellAnchor>
    <xdr:from>
      <xdr:col>1</xdr:col>
      <xdr:colOff>66582</xdr:colOff>
      <xdr:row>31</xdr:row>
      <xdr:rowOff>29592</xdr:rowOff>
    </xdr:from>
    <xdr:to>
      <xdr:col>2</xdr:col>
      <xdr:colOff>540058</xdr:colOff>
      <xdr:row>32</xdr:row>
      <xdr:rowOff>155359</xdr:rowOff>
    </xdr:to>
    <xdr:sp macro="[0]!totalSimulation" textlink="">
      <xdr:nvSpPr>
        <xdr:cNvPr id="124" name="Rectangle: Rounded Corners 123">
          <a:extLst>
            <a:ext uri="{FF2B5EF4-FFF2-40B4-BE49-F238E27FC236}">
              <a16:creationId xmlns:a16="http://schemas.microsoft.com/office/drawing/2014/main" id="{6CB108F9-2E08-40FA-823B-062D155EB704}"/>
            </a:ext>
          </a:extLst>
        </xdr:cNvPr>
        <xdr:cNvSpPr/>
      </xdr:nvSpPr>
      <xdr:spPr>
        <a:xfrm>
          <a:off x="673223" y="5208233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Weighted</a:t>
          </a:r>
          <a:r>
            <a:rPr lang="en-US" sz="1000" baseline="0"/>
            <a:t> Simulation</a:t>
          </a:r>
        </a:p>
      </xdr:txBody>
    </xdr:sp>
    <xdr:clientData/>
  </xdr:twoCellAnchor>
  <xdr:twoCellAnchor>
    <xdr:from>
      <xdr:col>0</xdr:col>
      <xdr:colOff>81379</xdr:colOff>
      <xdr:row>19</xdr:row>
      <xdr:rowOff>22194</xdr:rowOff>
    </xdr:from>
    <xdr:to>
      <xdr:col>0</xdr:col>
      <xdr:colOff>525262</xdr:colOff>
      <xdr:row>19</xdr:row>
      <xdr:rowOff>170155</xdr:rowOff>
    </xdr:to>
    <xdr:sp macro="[0]!increaseSt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6421C6C-B37C-45A9-AEE8-628A1ECD01A0}"/>
            </a:ext>
          </a:extLst>
        </xdr:cNvPr>
        <xdr:cNvSpPr/>
      </xdr:nvSpPr>
      <xdr:spPr>
        <a:xfrm>
          <a:off x="81379" y="3536272"/>
          <a:ext cx="443883" cy="14796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+1</a:t>
          </a:r>
        </a:p>
      </xdr:txBody>
    </xdr:sp>
    <xdr:clientData/>
  </xdr:twoCellAnchor>
  <xdr:twoCellAnchor>
    <xdr:from>
      <xdr:col>0</xdr:col>
      <xdr:colOff>81379</xdr:colOff>
      <xdr:row>20</xdr:row>
      <xdr:rowOff>22194</xdr:rowOff>
    </xdr:from>
    <xdr:to>
      <xdr:col>0</xdr:col>
      <xdr:colOff>525262</xdr:colOff>
      <xdr:row>20</xdr:row>
      <xdr:rowOff>170155</xdr:rowOff>
    </xdr:to>
    <xdr:sp macro="[0]!decreaseStop" textlink="">
      <xdr:nvSpPr>
        <xdr:cNvPr id="126" name="Rectangle: Rounded Corners 125">
          <a:extLst>
            <a:ext uri="{FF2B5EF4-FFF2-40B4-BE49-F238E27FC236}">
              <a16:creationId xmlns:a16="http://schemas.microsoft.com/office/drawing/2014/main" id="{2C703B33-9FCD-42AF-B074-A57AC3668A6F}"/>
            </a:ext>
          </a:extLst>
        </xdr:cNvPr>
        <xdr:cNvSpPr/>
      </xdr:nvSpPr>
      <xdr:spPr>
        <a:xfrm>
          <a:off x="81379" y="3721223"/>
          <a:ext cx="443883" cy="14796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-1</a:t>
          </a:r>
        </a:p>
      </xdr:txBody>
    </xdr:sp>
    <xdr:clientData/>
  </xdr:twoCellAnchor>
  <xdr:twoCellAnchor>
    <xdr:from>
      <xdr:col>0</xdr:col>
      <xdr:colOff>85819</xdr:colOff>
      <xdr:row>22</xdr:row>
      <xdr:rowOff>19232</xdr:rowOff>
    </xdr:from>
    <xdr:to>
      <xdr:col>0</xdr:col>
      <xdr:colOff>529702</xdr:colOff>
      <xdr:row>22</xdr:row>
      <xdr:rowOff>167193</xdr:rowOff>
    </xdr:to>
    <xdr:sp macro="[0]!increaseTime" textlink="">
      <xdr:nvSpPr>
        <xdr:cNvPr id="127" name="Rectangle: Rounded Corners 126">
          <a:extLst>
            <a:ext uri="{FF2B5EF4-FFF2-40B4-BE49-F238E27FC236}">
              <a16:creationId xmlns:a16="http://schemas.microsoft.com/office/drawing/2014/main" id="{B3424317-75A3-49B6-A7BE-0CC505C7F3E0}"/>
            </a:ext>
          </a:extLst>
        </xdr:cNvPr>
        <xdr:cNvSpPr/>
      </xdr:nvSpPr>
      <xdr:spPr>
        <a:xfrm>
          <a:off x="85819" y="4088164"/>
          <a:ext cx="443883" cy="14796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+1</a:t>
          </a:r>
        </a:p>
      </xdr:txBody>
    </xdr:sp>
    <xdr:clientData/>
  </xdr:twoCellAnchor>
  <xdr:twoCellAnchor>
    <xdr:from>
      <xdr:col>0</xdr:col>
      <xdr:colOff>85819</xdr:colOff>
      <xdr:row>23</xdr:row>
      <xdr:rowOff>19232</xdr:rowOff>
    </xdr:from>
    <xdr:to>
      <xdr:col>0</xdr:col>
      <xdr:colOff>529702</xdr:colOff>
      <xdr:row>23</xdr:row>
      <xdr:rowOff>167193</xdr:rowOff>
    </xdr:to>
    <xdr:sp macro="[0]!decreaseTime" textlink="">
      <xdr:nvSpPr>
        <xdr:cNvPr id="128" name="Rectangle: Rounded Corners 127">
          <a:extLst>
            <a:ext uri="{FF2B5EF4-FFF2-40B4-BE49-F238E27FC236}">
              <a16:creationId xmlns:a16="http://schemas.microsoft.com/office/drawing/2014/main" id="{7080E9E5-C736-481C-8F59-ED7CEDFBE08F}"/>
            </a:ext>
          </a:extLst>
        </xdr:cNvPr>
        <xdr:cNvSpPr/>
      </xdr:nvSpPr>
      <xdr:spPr>
        <a:xfrm>
          <a:off x="85819" y="4273115"/>
          <a:ext cx="443883" cy="14796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-1</a:t>
          </a:r>
        </a:p>
      </xdr:txBody>
    </xdr:sp>
    <xdr:clientData/>
  </xdr:twoCellAnchor>
  <xdr:twoCellAnchor>
    <xdr:from>
      <xdr:col>0</xdr:col>
      <xdr:colOff>81378</xdr:colOff>
      <xdr:row>25</xdr:row>
      <xdr:rowOff>22194</xdr:rowOff>
    </xdr:from>
    <xdr:to>
      <xdr:col>0</xdr:col>
      <xdr:colOff>525261</xdr:colOff>
      <xdr:row>25</xdr:row>
      <xdr:rowOff>170155</xdr:rowOff>
    </xdr:to>
    <xdr:sp macro="[0]!increasePM" textlink="">
      <xdr:nvSpPr>
        <xdr:cNvPr id="129" name="Rectangle: Rounded Corners 128">
          <a:extLst>
            <a:ext uri="{FF2B5EF4-FFF2-40B4-BE49-F238E27FC236}">
              <a16:creationId xmlns:a16="http://schemas.microsoft.com/office/drawing/2014/main" id="{4C94B8D2-79F5-4B90-8A79-713E4B94EEDC}"/>
            </a:ext>
          </a:extLst>
        </xdr:cNvPr>
        <xdr:cNvSpPr/>
      </xdr:nvSpPr>
      <xdr:spPr>
        <a:xfrm>
          <a:off x="81378" y="4645980"/>
          <a:ext cx="443883" cy="14796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+1</a:t>
          </a:r>
        </a:p>
      </xdr:txBody>
    </xdr:sp>
    <xdr:clientData/>
  </xdr:twoCellAnchor>
  <xdr:twoCellAnchor>
    <xdr:from>
      <xdr:col>0</xdr:col>
      <xdr:colOff>81378</xdr:colOff>
      <xdr:row>26</xdr:row>
      <xdr:rowOff>22193</xdr:rowOff>
    </xdr:from>
    <xdr:to>
      <xdr:col>0</xdr:col>
      <xdr:colOff>525261</xdr:colOff>
      <xdr:row>26</xdr:row>
      <xdr:rowOff>170154</xdr:rowOff>
    </xdr:to>
    <xdr:sp macro="[0]!decreasePM" textlink="">
      <xdr:nvSpPr>
        <xdr:cNvPr id="130" name="Rectangle: Rounded Corners 129">
          <a:extLst>
            <a:ext uri="{FF2B5EF4-FFF2-40B4-BE49-F238E27FC236}">
              <a16:creationId xmlns:a16="http://schemas.microsoft.com/office/drawing/2014/main" id="{8B13D9F2-5637-4E55-898C-4C3085278C80}"/>
            </a:ext>
          </a:extLst>
        </xdr:cNvPr>
        <xdr:cNvSpPr/>
      </xdr:nvSpPr>
      <xdr:spPr>
        <a:xfrm>
          <a:off x="81378" y="4830931"/>
          <a:ext cx="443883" cy="14796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-1</a:t>
          </a:r>
        </a:p>
      </xdr:txBody>
    </xdr:sp>
    <xdr:clientData/>
  </xdr:twoCellAnchor>
  <xdr:twoCellAnchor>
    <xdr:from>
      <xdr:col>0</xdr:col>
      <xdr:colOff>81378</xdr:colOff>
      <xdr:row>28</xdr:row>
      <xdr:rowOff>22194</xdr:rowOff>
    </xdr:from>
    <xdr:to>
      <xdr:col>0</xdr:col>
      <xdr:colOff>525261</xdr:colOff>
      <xdr:row>28</xdr:row>
      <xdr:rowOff>170155</xdr:rowOff>
    </xdr:to>
    <xdr:sp macro="[0]!increaseAM" textlink="">
      <xdr:nvSpPr>
        <xdr:cNvPr id="133" name="Rectangle: Rounded Corners 132">
          <a:extLst>
            <a:ext uri="{FF2B5EF4-FFF2-40B4-BE49-F238E27FC236}">
              <a16:creationId xmlns:a16="http://schemas.microsoft.com/office/drawing/2014/main" id="{9B24E759-5754-4787-BE7E-5398E1EEA5C2}"/>
            </a:ext>
          </a:extLst>
        </xdr:cNvPr>
        <xdr:cNvSpPr/>
      </xdr:nvSpPr>
      <xdr:spPr>
        <a:xfrm>
          <a:off x="81378" y="5200835"/>
          <a:ext cx="443883" cy="14796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+1</a:t>
          </a:r>
        </a:p>
      </xdr:txBody>
    </xdr:sp>
    <xdr:clientData/>
  </xdr:twoCellAnchor>
  <xdr:twoCellAnchor>
    <xdr:from>
      <xdr:col>0</xdr:col>
      <xdr:colOff>81378</xdr:colOff>
      <xdr:row>29</xdr:row>
      <xdr:rowOff>22194</xdr:rowOff>
    </xdr:from>
    <xdr:to>
      <xdr:col>0</xdr:col>
      <xdr:colOff>525261</xdr:colOff>
      <xdr:row>29</xdr:row>
      <xdr:rowOff>170155</xdr:rowOff>
    </xdr:to>
    <xdr:sp macro="[0]!decreaseAM" textlink="">
      <xdr:nvSpPr>
        <xdr:cNvPr id="134" name="Rectangle: Rounded Corners 133">
          <a:extLst>
            <a:ext uri="{FF2B5EF4-FFF2-40B4-BE49-F238E27FC236}">
              <a16:creationId xmlns:a16="http://schemas.microsoft.com/office/drawing/2014/main" id="{496B5988-32F2-4469-906D-9CE986097E12}"/>
            </a:ext>
          </a:extLst>
        </xdr:cNvPr>
        <xdr:cNvSpPr/>
      </xdr:nvSpPr>
      <xdr:spPr>
        <a:xfrm>
          <a:off x="81378" y="5385786"/>
          <a:ext cx="443883" cy="14796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-1</a:t>
          </a:r>
        </a:p>
      </xdr:txBody>
    </xdr:sp>
    <xdr:clientData/>
  </xdr:twoCellAnchor>
  <xdr:twoCellAnchor>
    <xdr:from>
      <xdr:col>0</xdr:col>
      <xdr:colOff>36991</xdr:colOff>
      <xdr:row>31</xdr:row>
      <xdr:rowOff>51787</xdr:rowOff>
    </xdr:from>
    <xdr:to>
      <xdr:col>0</xdr:col>
      <xdr:colOff>569651</xdr:colOff>
      <xdr:row>32</xdr:row>
      <xdr:rowOff>140563</xdr:rowOff>
    </xdr:to>
    <xdr:sp macro="[0]!zeroWeigh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509E4CF-EE89-439B-AA1E-38E96A046655}"/>
            </a:ext>
          </a:extLst>
        </xdr:cNvPr>
        <xdr:cNvSpPr/>
      </xdr:nvSpPr>
      <xdr:spPr>
        <a:xfrm>
          <a:off x="36991" y="5785282"/>
          <a:ext cx="532660" cy="2737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8CD3-3F4B-4F2D-9E26-1B02266D534F}">
  <sheetPr codeName="Sheet1"/>
  <dimension ref="A3:R43"/>
  <sheetViews>
    <sheetView tabSelected="1" topLeftCell="A14" zoomScale="103" zoomScaleNormal="400" workbookViewId="0">
      <selection activeCell="F35" sqref="F35"/>
    </sheetView>
  </sheetViews>
  <sheetFormatPr defaultRowHeight="14.4" x14ac:dyDescent="0.3"/>
  <cols>
    <col min="3" max="3" width="8.88671875" style="1"/>
    <col min="4" max="4" width="13.33203125" style="1" customWidth="1"/>
    <col min="5" max="5" width="12.109375" style="1" customWidth="1"/>
    <col min="6" max="6" width="10" style="23" customWidth="1"/>
    <col min="7" max="7" width="13.21875" customWidth="1"/>
    <col min="8" max="8" width="13.5546875" customWidth="1"/>
    <col min="9" max="9" width="8.88671875" style="1"/>
    <col min="10" max="10" width="12.77734375" style="1" customWidth="1"/>
    <col min="11" max="11" width="8.88671875" style="1"/>
    <col min="12" max="12" width="13.21875" style="1" customWidth="1"/>
    <col min="14" max="14" width="10.6640625" customWidth="1"/>
    <col min="15" max="15" width="8.88671875" style="2"/>
    <col min="16" max="16" width="8.88671875" style="3"/>
  </cols>
  <sheetData>
    <row r="3" spans="1:18" x14ac:dyDescent="0.3">
      <c r="I3" s="41" t="s">
        <v>16</v>
      </c>
      <c r="J3" s="41"/>
      <c r="K3" s="41" t="s">
        <v>17</v>
      </c>
      <c r="L3" s="41"/>
      <c r="M3" s="40" t="s">
        <v>18</v>
      </c>
      <c r="N3" s="40" t="s">
        <v>20</v>
      </c>
      <c r="O3" s="40" t="s">
        <v>22</v>
      </c>
      <c r="P3" s="40" t="s">
        <v>24</v>
      </c>
      <c r="Q3" s="37" t="s">
        <v>28</v>
      </c>
      <c r="R3" s="38" t="s">
        <v>27</v>
      </c>
    </row>
    <row r="4" spans="1:18" x14ac:dyDescent="0.3">
      <c r="A4" s="9" t="s">
        <v>16</v>
      </c>
      <c r="B4" s="9" t="s">
        <v>17</v>
      </c>
      <c r="C4" s="9" t="s">
        <v>0</v>
      </c>
      <c r="D4" s="9" t="s">
        <v>1</v>
      </c>
      <c r="E4" s="9" t="s">
        <v>19</v>
      </c>
      <c r="F4" s="24" t="s">
        <v>15</v>
      </c>
      <c r="I4" s="4" t="s">
        <v>0</v>
      </c>
      <c r="J4" s="4" t="s">
        <v>1</v>
      </c>
      <c r="K4" s="4" t="s">
        <v>0</v>
      </c>
      <c r="L4" s="4" t="s">
        <v>1</v>
      </c>
      <c r="M4" s="40"/>
      <c r="N4" s="42"/>
      <c r="O4" s="40"/>
      <c r="P4" s="40"/>
      <c r="Q4" s="38"/>
      <c r="R4" s="39"/>
    </row>
    <row r="5" spans="1:18" x14ac:dyDescent="0.3">
      <c r="C5" s="10">
        <v>1</v>
      </c>
      <c r="D5" s="10" t="s">
        <v>2</v>
      </c>
      <c r="E5" s="10">
        <f>SUMIF($K$5:$K$42,C5,$N$5:$N$42)-SUMIF($I$5:$I$42,C5,$N$5:$N$42)</f>
        <v>0</v>
      </c>
      <c r="F5" s="25">
        <v>0</v>
      </c>
      <c r="I5" s="8">
        <v>1</v>
      </c>
      <c r="J5" s="8" t="str">
        <f>VLOOKUP(I5,$C$5:$D$17,2)</f>
        <v>Langenfeldg</v>
      </c>
      <c r="K5" s="8">
        <v>2</v>
      </c>
      <c r="L5" s="8" t="str">
        <f>VLOOKUP(K5,$C$5:$D$17,2)</f>
        <v>Karlsplatz</v>
      </c>
      <c r="M5" s="5">
        <v>4</v>
      </c>
      <c r="N5" s="6">
        <v>0</v>
      </c>
      <c r="O5" s="7">
        <f>0.9+1.19+0.89+1.1</f>
        <v>4.08</v>
      </c>
      <c r="P5" s="20">
        <v>4</v>
      </c>
      <c r="Q5" s="22">
        <v>0</v>
      </c>
      <c r="R5" s="21"/>
    </row>
    <row r="6" spans="1:18" x14ac:dyDescent="0.3">
      <c r="C6" s="10">
        <v>2</v>
      </c>
      <c r="D6" s="10" t="s">
        <v>3</v>
      </c>
      <c r="E6" s="10">
        <f t="shared" ref="E6:E17" si="0">SUMIF($K$5:$K$42,C6,$N$5:$N$42)-SUMIF($I$5:$I$42,C6,$N$5:$N$42)</f>
        <v>0</v>
      </c>
      <c r="F6" s="25">
        <v>0</v>
      </c>
      <c r="I6" s="8">
        <v>1</v>
      </c>
      <c r="J6" s="8" t="str">
        <f>VLOOKUP(I6,$C$5:$D$17,2)</f>
        <v>Langenfeldg</v>
      </c>
      <c r="K6" s="8">
        <v>12</v>
      </c>
      <c r="L6" s="8" t="str">
        <f t="shared" ref="L6:L42" si="1">VLOOKUP(K6,$C$5:$D$17,2)</f>
        <v>Schonbrunn</v>
      </c>
      <c r="M6" s="5">
        <v>2</v>
      </c>
      <c r="N6" s="6">
        <v>0</v>
      </c>
      <c r="O6" s="7">
        <f>0.8+0.96</f>
        <v>1.76</v>
      </c>
      <c r="P6" s="20">
        <v>4</v>
      </c>
      <c r="Q6" s="22">
        <v>2</v>
      </c>
      <c r="R6" s="22">
        <v>2</v>
      </c>
    </row>
    <row r="7" spans="1:18" x14ac:dyDescent="0.3">
      <c r="C7" s="10">
        <v>3</v>
      </c>
      <c r="D7" s="10" t="s">
        <v>4</v>
      </c>
      <c r="E7" s="10">
        <f t="shared" si="0"/>
        <v>0</v>
      </c>
      <c r="F7" s="25">
        <v>0</v>
      </c>
      <c r="I7" s="8">
        <v>1</v>
      </c>
      <c r="J7" s="8" t="str">
        <f t="shared" ref="J7:J42" si="2">VLOOKUP(I7,$C$5:$D$17,2)</f>
        <v>Langenfeldg</v>
      </c>
      <c r="K7" s="8">
        <v>6</v>
      </c>
      <c r="L7" s="8" t="str">
        <f t="shared" si="1"/>
        <v>Westbahnhof</v>
      </c>
      <c r="M7" s="5">
        <v>2</v>
      </c>
      <c r="N7" s="6">
        <v>0</v>
      </c>
      <c r="O7" s="7">
        <f>0.92+1.09</f>
        <v>2.0100000000000002</v>
      </c>
      <c r="P7" s="20">
        <v>6</v>
      </c>
      <c r="Q7" s="22">
        <v>1</v>
      </c>
      <c r="R7" s="21"/>
    </row>
    <row r="8" spans="1:18" x14ac:dyDescent="0.3">
      <c r="C8" s="10">
        <v>4</v>
      </c>
      <c r="D8" s="10" t="s">
        <v>5</v>
      </c>
      <c r="E8" s="10">
        <f t="shared" si="0"/>
        <v>0</v>
      </c>
      <c r="F8" s="25">
        <v>0</v>
      </c>
      <c r="I8" s="8">
        <v>2</v>
      </c>
      <c r="J8" s="8" t="str">
        <f t="shared" si="2"/>
        <v>Karlsplatz</v>
      </c>
      <c r="K8" s="8">
        <v>4</v>
      </c>
      <c r="L8" s="8" t="str">
        <f t="shared" si="1"/>
        <v>Stephensplatz</v>
      </c>
      <c r="M8" s="5">
        <v>1</v>
      </c>
      <c r="N8" s="6">
        <v>0</v>
      </c>
      <c r="O8" s="7">
        <f>1.21</f>
        <v>1.21</v>
      </c>
      <c r="P8" s="20">
        <v>1</v>
      </c>
      <c r="Q8" s="22">
        <v>2</v>
      </c>
      <c r="R8" s="22">
        <v>3</v>
      </c>
    </row>
    <row r="9" spans="1:18" x14ac:dyDescent="0.3">
      <c r="C9" s="10">
        <v>5</v>
      </c>
      <c r="D9" s="10" t="s">
        <v>6</v>
      </c>
      <c r="E9" s="10">
        <f t="shared" si="0"/>
        <v>0</v>
      </c>
      <c r="F9" s="25">
        <v>0</v>
      </c>
      <c r="I9" s="8">
        <v>2</v>
      </c>
      <c r="J9" s="8" t="str">
        <f t="shared" si="2"/>
        <v>Karlsplatz</v>
      </c>
      <c r="K9" s="8">
        <v>1</v>
      </c>
      <c r="L9" s="8" t="str">
        <f t="shared" si="1"/>
        <v>Langenfeldg</v>
      </c>
      <c r="M9" s="5">
        <v>4</v>
      </c>
      <c r="N9" s="6">
        <v>0</v>
      </c>
      <c r="O9" s="7">
        <f>1.1+0.89+1.19+0.9</f>
        <v>4.08</v>
      </c>
      <c r="P9" s="20">
        <v>4</v>
      </c>
      <c r="Q9" s="22">
        <v>2</v>
      </c>
      <c r="R9" s="22">
        <v>2</v>
      </c>
    </row>
    <row r="10" spans="1:18" x14ac:dyDescent="0.3">
      <c r="C10" s="10">
        <v>6</v>
      </c>
      <c r="D10" s="10" t="s">
        <v>7</v>
      </c>
      <c r="E10" s="10">
        <f t="shared" si="0"/>
        <v>1</v>
      </c>
      <c r="F10" s="25">
        <v>1</v>
      </c>
      <c r="I10" s="8">
        <v>2</v>
      </c>
      <c r="J10" s="8" t="str">
        <f t="shared" si="2"/>
        <v>Karlsplatz</v>
      </c>
      <c r="K10" s="8">
        <v>3</v>
      </c>
      <c r="L10" s="8" t="str">
        <f t="shared" si="1"/>
        <v>LandstraBe</v>
      </c>
      <c r="M10" s="5">
        <v>2</v>
      </c>
      <c r="N10" s="6">
        <v>0</v>
      </c>
      <c r="O10" s="7">
        <f>1.05+1.18</f>
        <v>2.23</v>
      </c>
      <c r="P10" s="20">
        <v>4</v>
      </c>
      <c r="Q10" s="22">
        <v>0</v>
      </c>
      <c r="R10" s="22">
        <v>3</v>
      </c>
    </row>
    <row r="11" spans="1:18" x14ac:dyDescent="0.3">
      <c r="C11" s="10">
        <v>7</v>
      </c>
      <c r="D11" s="10" t="s">
        <v>8</v>
      </c>
      <c r="E11" s="10">
        <f t="shared" si="0"/>
        <v>0</v>
      </c>
      <c r="F11" s="25">
        <v>0</v>
      </c>
      <c r="I11" s="8">
        <v>2</v>
      </c>
      <c r="J11" s="8" t="str">
        <f t="shared" si="2"/>
        <v>Karlsplatz</v>
      </c>
      <c r="K11" s="8">
        <v>5</v>
      </c>
      <c r="L11" s="8" t="str">
        <f t="shared" si="1"/>
        <v>Volkstheeter</v>
      </c>
      <c r="M11" s="5">
        <v>2</v>
      </c>
      <c r="N11" s="6">
        <v>0</v>
      </c>
      <c r="O11" s="7">
        <f>0.77+0.75</f>
        <v>1.52</v>
      </c>
      <c r="P11" s="20">
        <v>2</v>
      </c>
      <c r="Q11" s="22">
        <v>0</v>
      </c>
      <c r="R11" s="21"/>
    </row>
    <row r="12" spans="1:18" x14ac:dyDescent="0.3">
      <c r="C12" s="10">
        <v>8</v>
      </c>
      <c r="D12" s="10" t="s">
        <v>9</v>
      </c>
      <c r="E12" s="10">
        <f t="shared" si="0"/>
        <v>-1</v>
      </c>
      <c r="F12" s="25">
        <v>-1</v>
      </c>
      <c r="G12" s="18" t="s">
        <v>25</v>
      </c>
      <c r="H12" s="18" t="s">
        <v>26</v>
      </c>
      <c r="I12" s="8">
        <v>3</v>
      </c>
      <c r="J12" s="8" t="str">
        <f t="shared" si="2"/>
        <v>LandstraBe</v>
      </c>
      <c r="K12" s="8">
        <v>2</v>
      </c>
      <c r="L12" s="8" t="str">
        <f t="shared" si="1"/>
        <v>Karlsplatz</v>
      </c>
      <c r="M12" s="5">
        <v>2</v>
      </c>
      <c r="N12" s="6">
        <v>0</v>
      </c>
      <c r="O12" s="7">
        <f>1.05+1.18</f>
        <v>2.23</v>
      </c>
      <c r="P12" s="20">
        <v>4</v>
      </c>
      <c r="Q12" s="22">
        <v>1</v>
      </c>
      <c r="R12" s="22">
        <v>2</v>
      </c>
    </row>
    <row r="13" spans="1:18" x14ac:dyDescent="0.3">
      <c r="C13" s="10">
        <v>9</v>
      </c>
      <c r="D13" s="10" t="s">
        <v>10</v>
      </c>
      <c r="E13" s="10">
        <f t="shared" si="0"/>
        <v>0</v>
      </c>
      <c r="F13" s="25">
        <v>0</v>
      </c>
      <c r="G13" s="13">
        <f>IF(OR(N8=1,N15=1,N17=1,N26=1,N29=1,N30=1,N32=1,N42=1),1,0)</f>
        <v>1</v>
      </c>
      <c r="H13" s="19">
        <f>SUM(IF(FREQUENCY(G13:G17,G13:G17)&gt;0,1)) - 2</f>
        <v>1</v>
      </c>
      <c r="I13" s="8">
        <v>3</v>
      </c>
      <c r="J13" s="8" t="str">
        <f t="shared" si="2"/>
        <v>LandstraBe</v>
      </c>
      <c r="K13" s="8">
        <v>4</v>
      </c>
      <c r="L13" s="8" t="str">
        <f t="shared" si="1"/>
        <v>Stephensplatz</v>
      </c>
      <c r="M13" s="5">
        <v>2</v>
      </c>
      <c r="N13" s="6">
        <v>0</v>
      </c>
      <c r="O13" s="7">
        <f>0.93+0.75</f>
        <v>1.6800000000000002</v>
      </c>
      <c r="P13" s="20">
        <v>3</v>
      </c>
      <c r="Q13" s="22">
        <v>1</v>
      </c>
      <c r="R13" s="21"/>
    </row>
    <row r="14" spans="1:18" x14ac:dyDescent="0.3">
      <c r="C14" s="10">
        <v>10</v>
      </c>
      <c r="D14" s="10" t="s">
        <v>11</v>
      </c>
      <c r="E14" s="10">
        <f t="shared" si="0"/>
        <v>0</v>
      </c>
      <c r="F14" s="25">
        <v>0</v>
      </c>
      <c r="G14" s="14">
        <f>IF(OR(N11=1,N21=1,N22=1,N31=1,N34=1,N36=1),2,0)</f>
        <v>0</v>
      </c>
      <c r="H14" s="34"/>
      <c r="I14" s="8">
        <v>3</v>
      </c>
      <c r="J14" s="8" t="str">
        <f t="shared" si="2"/>
        <v>LandstraBe</v>
      </c>
      <c r="K14" s="8">
        <v>7</v>
      </c>
      <c r="L14" s="8" t="str">
        <f t="shared" si="1"/>
        <v>Schwedenplatz</v>
      </c>
      <c r="M14" s="5">
        <v>1</v>
      </c>
      <c r="N14" s="6">
        <v>0</v>
      </c>
      <c r="O14" s="7">
        <f>0.86</f>
        <v>0.86</v>
      </c>
      <c r="P14" s="20">
        <v>4</v>
      </c>
      <c r="Q14" s="22">
        <v>1</v>
      </c>
      <c r="R14" s="22">
        <v>2</v>
      </c>
    </row>
    <row r="15" spans="1:18" x14ac:dyDescent="0.3">
      <c r="C15" s="10">
        <v>11</v>
      </c>
      <c r="D15" s="10" t="s">
        <v>12</v>
      </c>
      <c r="E15" s="10">
        <f t="shared" si="0"/>
        <v>0</v>
      </c>
      <c r="F15" s="25">
        <v>0</v>
      </c>
      <c r="G15" s="15">
        <f>IF(OR(N13=1,N16=1,N18=1,N19=1,N20=1,N23=1),3,0)</f>
        <v>3</v>
      </c>
      <c r="H15" s="35"/>
      <c r="I15" s="8">
        <v>4</v>
      </c>
      <c r="J15" s="8" t="str">
        <f t="shared" si="2"/>
        <v>Stephensplatz</v>
      </c>
      <c r="K15" s="8">
        <v>2</v>
      </c>
      <c r="L15" s="8" t="str">
        <f t="shared" si="1"/>
        <v>Karlsplatz</v>
      </c>
      <c r="M15" s="5">
        <v>1</v>
      </c>
      <c r="N15" s="6">
        <v>0</v>
      </c>
      <c r="O15" s="7">
        <f>O8</f>
        <v>1.21</v>
      </c>
      <c r="P15" s="20">
        <v>1</v>
      </c>
      <c r="Q15" s="22">
        <v>1</v>
      </c>
      <c r="R15" s="21"/>
    </row>
    <row r="16" spans="1:18" x14ac:dyDescent="0.3">
      <c r="C16" s="10">
        <v>12</v>
      </c>
      <c r="D16" s="10" t="s">
        <v>13</v>
      </c>
      <c r="E16" s="10">
        <f t="shared" si="0"/>
        <v>0</v>
      </c>
      <c r="F16" s="25">
        <v>0</v>
      </c>
      <c r="G16" s="16">
        <f>IF(OR(N5=1,N6=1,N9=1,N10=1,N12=1,N14=1,N27=1,N28=1,N33=1,N35=1,N38=1,N39=1,N40=1,N41=1),4,0)</f>
        <v>0</v>
      </c>
      <c r="H16" s="35"/>
      <c r="I16" s="8">
        <v>4</v>
      </c>
      <c r="J16" s="8" t="str">
        <f t="shared" si="2"/>
        <v>Stephensplatz</v>
      </c>
      <c r="K16" s="8">
        <v>5</v>
      </c>
      <c r="L16" s="8" t="str">
        <f t="shared" si="1"/>
        <v>Volkstheeter</v>
      </c>
      <c r="M16" s="5">
        <v>2</v>
      </c>
      <c r="N16" s="6">
        <v>1</v>
      </c>
      <c r="O16" s="7">
        <f>0.98+0.75</f>
        <v>1.73</v>
      </c>
      <c r="P16" s="20">
        <v>3</v>
      </c>
      <c r="Q16" s="22">
        <v>2</v>
      </c>
      <c r="R16" s="22">
        <v>2</v>
      </c>
    </row>
    <row r="17" spans="1:18" x14ac:dyDescent="0.3">
      <c r="C17" s="10">
        <v>13</v>
      </c>
      <c r="D17" s="10" t="s">
        <v>14</v>
      </c>
      <c r="E17" s="10">
        <f t="shared" si="0"/>
        <v>0</v>
      </c>
      <c r="F17" s="25">
        <v>0</v>
      </c>
      <c r="G17" s="17">
        <f>IF(OR(N7=1,N24=1,N25=1,N37=1),6,0)</f>
        <v>0</v>
      </c>
      <c r="H17" s="36"/>
      <c r="I17" s="8">
        <v>4</v>
      </c>
      <c r="J17" s="8" t="str">
        <f t="shared" si="2"/>
        <v>Stephensplatz</v>
      </c>
      <c r="K17" s="8">
        <v>7</v>
      </c>
      <c r="L17" s="8" t="str">
        <f t="shared" si="1"/>
        <v>Schwedenplatz</v>
      </c>
      <c r="M17" s="5">
        <v>1</v>
      </c>
      <c r="N17" s="6">
        <v>0</v>
      </c>
      <c r="O17" s="7">
        <f>0.91</f>
        <v>0.91</v>
      </c>
      <c r="P17" s="20">
        <v>1</v>
      </c>
      <c r="Q17" s="22">
        <v>1</v>
      </c>
      <c r="R17" s="22">
        <v>3</v>
      </c>
    </row>
    <row r="18" spans="1:18" x14ac:dyDescent="0.3">
      <c r="I18" s="8">
        <v>4</v>
      </c>
      <c r="J18" s="8" t="str">
        <f t="shared" si="2"/>
        <v>Stephensplatz</v>
      </c>
      <c r="K18" s="8">
        <v>3</v>
      </c>
      <c r="L18" s="8" t="str">
        <f t="shared" si="1"/>
        <v>LandstraBe</v>
      </c>
      <c r="M18" s="5">
        <v>2</v>
      </c>
      <c r="N18" s="6">
        <v>0</v>
      </c>
      <c r="O18" s="7">
        <f>O13</f>
        <v>1.6800000000000002</v>
      </c>
      <c r="P18" s="20">
        <v>3</v>
      </c>
      <c r="Q18" s="22">
        <v>1</v>
      </c>
      <c r="R18" s="21"/>
    </row>
    <row r="19" spans="1:18" x14ac:dyDescent="0.3">
      <c r="F19" s="26" t="s">
        <v>31</v>
      </c>
      <c r="I19" s="8">
        <v>5</v>
      </c>
      <c r="J19" s="8" t="str">
        <f t="shared" si="2"/>
        <v>Volkstheeter</v>
      </c>
      <c r="K19" s="8">
        <v>4</v>
      </c>
      <c r="L19" s="8" t="str">
        <f t="shared" si="1"/>
        <v>Stephensplatz</v>
      </c>
      <c r="M19" s="5">
        <v>2</v>
      </c>
      <c r="N19" s="6">
        <v>0</v>
      </c>
      <c r="O19" s="7">
        <f>O16</f>
        <v>1.73</v>
      </c>
      <c r="P19" s="20">
        <v>3</v>
      </c>
      <c r="Q19" s="22">
        <v>1</v>
      </c>
      <c r="R19" s="21"/>
    </row>
    <row r="20" spans="1:18" x14ac:dyDescent="0.3">
      <c r="B20" s="12"/>
      <c r="C20" s="11"/>
      <c r="D20" s="31" t="s">
        <v>21</v>
      </c>
      <c r="E20" s="31"/>
      <c r="F20" s="30">
        <v>1</v>
      </c>
      <c r="G20" s="27" t="s">
        <v>25</v>
      </c>
      <c r="H20" s="27" t="s">
        <v>35</v>
      </c>
      <c r="I20" s="8">
        <v>5</v>
      </c>
      <c r="J20" s="8" t="str">
        <f t="shared" si="2"/>
        <v>Volkstheeter</v>
      </c>
      <c r="K20" s="8">
        <v>6</v>
      </c>
      <c r="L20" s="8" t="str">
        <f t="shared" si="1"/>
        <v>Westbahnhof</v>
      </c>
      <c r="M20" s="5">
        <v>3</v>
      </c>
      <c r="N20" s="6">
        <v>1</v>
      </c>
      <c r="O20" s="7">
        <f>0.75+0.88+1.03</f>
        <v>2.66</v>
      </c>
      <c r="P20" s="20">
        <v>3</v>
      </c>
      <c r="Q20" s="22">
        <v>2</v>
      </c>
      <c r="R20" s="21"/>
    </row>
    <row r="21" spans="1:18" x14ac:dyDescent="0.3">
      <c r="B21" s="12"/>
      <c r="C21" s="11"/>
      <c r="D21" s="33">
        <f>SUMPRODUCT(M5:M42,N5:N42)</f>
        <v>8</v>
      </c>
      <c r="E21" s="33"/>
      <c r="F21" s="30"/>
      <c r="G21" s="3">
        <f t="array" ref="G21">INDEX(I5:P43,MATCH(1,(H21=J5:J42)*(H22=L5:L42),0),8)</f>
        <v>1</v>
      </c>
      <c r="H21" s="1" t="str">
        <f>INDEX(C5:E17,MATCH(-1,E5:E17,0),2)</f>
        <v>Praterstern</v>
      </c>
      <c r="I21" s="8">
        <v>5</v>
      </c>
      <c r="J21" s="8" t="str">
        <f t="shared" si="2"/>
        <v>Volkstheeter</v>
      </c>
      <c r="K21" s="8">
        <v>2</v>
      </c>
      <c r="L21" s="8" t="str">
        <f t="shared" si="1"/>
        <v>Karlsplatz</v>
      </c>
      <c r="M21" s="5">
        <v>2</v>
      </c>
      <c r="N21" s="6">
        <v>0</v>
      </c>
      <c r="O21" s="7">
        <f>O11</f>
        <v>1.52</v>
      </c>
      <c r="P21" s="20">
        <v>2</v>
      </c>
      <c r="Q21" s="22">
        <v>2</v>
      </c>
      <c r="R21" s="21"/>
    </row>
    <row r="22" spans="1:18" x14ac:dyDescent="0.3">
      <c r="F22" s="28"/>
      <c r="G22" s="3">
        <f t="array" ref="G22">IFERROR(INDEX(I5:P43,MATCH(1,(H22=J5:J42)*(H21=L5:L42),0),8),0)</f>
        <v>1</v>
      </c>
      <c r="H22" s="1" t="str">
        <f t="array" ref="H22">IFERROR(INDEX($I$5:$N$42,MATCH(1,($J$5:$J$42=H21) * ($N$5:$N$42=1),0),4),0)</f>
        <v>Schwedenplatz</v>
      </c>
      <c r="I22" s="8">
        <v>5</v>
      </c>
      <c r="J22" s="8" t="str">
        <f t="shared" si="2"/>
        <v>Volkstheeter</v>
      </c>
      <c r="K22" s="8">
        <v>9</v>
      </c>
      <c r="L22" s="8" t="str">
        <f t="shared" si="1"/>
        <v>Schottenring</v>
      </c>
      <c r="M22" s="5">
        <v>3</v>
      </c>
      <c r="N22" s="6">
        <v>0</v>
      </c>
      <c r="O22" s="7">
        <f>0.94+1.33+0.9</f>
        <v>3.17</v>
      </c>
      <c r="P22" s="20">
        <v>2</v>
      </c>
      <c r="Q22" s="22">
        <v>1</v>
      </c>
      <c r="R22" s="21"/>
    </row>
    <row r="23" spans="1:18" x14ac:dyDescent="0.3">
      <c r="B23" s="12"/>
      <c r="C23" s="11"/>
      <c r="D23" s="31" t="s">
        <v>23</v>
      </c>
      <c r="E23" s="31"/>
      <c r="F23" s="30">
        <v>1</v>
      </c>
      <c r="G23" s="3">
        <f t="array" ref="G23">_xlfn.IFNA(INDEX(I6:P44,MATCH(1,(H23=J6:J43)*(H22=L6:L43),0),8),0)</f>
        <v>1</v>
      </c>
      <c r="H23" s="3" t="str">
        <f t="array" ref="H23">IFERROR(INDEX($I$5:$N$42,MATCH(1,($J$5:$J$42=H22) * ($N$5:$N$42=1),0),4),0)</f>
        <v>Stephensplatz</v>
      </c>
      <c r="I23" s="8">
        <v>6</v>
      </c>
      <c r="J23" s="8" t="str">
        <f t="shared" si="2"/>
        <v>Westbahnhof</v>
      </c>
      <c r="K23" s="8">
        <v>5</v>
      </c>
      <c r="L23" s="8" t="str">
        <f t="shared" si="1"/>
        <v>Volkstheeter</v>
      </c>
      <c r="M23" s="5">
        <v>3</v>
      </c>
      <c r="N23" s="6">
        <v>0</v>
      </c>
      <c r="O23" s="7">
        <f>O20</f>
        <v>2.66</v>
      </c>
      <c r="P23" s="20">
        <v>3</v>
      </c>
      <c r="Q23" s="22">
        <v>1</v>
      </c>
      <c r="R23" s="21"/>
    </row>
    <row r="24" spans="1:18" x14ac:dyDescent="0.3">
      <c r="B24" s="12"/>
      <c r="C24" s="11"/>
      <c r="D24" s="32">
        <f>SUMPRODUCT(N5:N42,O5:O42)</f>
        <v>7.2200000000000006</v>
      </c>
      <c r="E24" s="32"/>
      <c r="F24" s="30"/>
      <c r="G24" s="3">
        <f t="array" ref="G24">_xlfn.IFNA(INDEX(I7:P45,MATCH(1,(H24=J7:J44)*(H23=L7:L44),0),8),0)</f>
        <v>3</v>
      </c>
      <c r="H24" s="3" t="str">
        <f t="array" ref="H24">IFERROR(INDEX($I$5:$N$42,MATCH(1,($J$5:$J$42=H23) * ($N$5:$N$42=1),0),4),0)</f>
        <v>Volkstheeter</v>
      </c>
      <c r="I24" s="8">
        <v>6</v>
      </c>
      <c r="J24" s="8" t="str">
        <f t="shared" si="2"/>
        <v>Westbahnhof</v>
      </c>
      <c r="K24" s="8">
        <v>1</v>
      </c>
      <c r="L24" s="8" t="str">
        <f t="shared" si="1"/>
        <v>Langenfeldg</v>
      </c>
      <c r="M24" s="5">
        <v>2</v>
      </c>
      <c r="N24" s="6">
        <v>0</v>
      </c>
      <c r="O24" s="7">
        <f>O7</f>
        <v>2.0100000000000002</v>
      </c>
      <c r="P24" s="20">
        <v>6</v>
      </c>
      <c r="Q24" s="22">
        <v>2</v>
      </c>
      <c r="R24" s="21"/>
    </row>
    <row r="25" spans="1:18" x14ac:dyDescent="0.3">
      <c r="F25" s="28"/>
      <c r="G25" s="3">
        <f t="array" ref="G25">_xlfn.IFNA(INDEX(I8:P46,MATCH(1,(H25=J8:J45)*(H24=L8:L45),0),8),0)</f>
        <v>3</v>
      </c>
      <c r="H25" s="3" t="str">
        <f t="array" ref="H25">IFERROR(INDEX($I$5:$N$42,MATCH(1,($J$5:$J$42=H24) * ($N$5:$N$42=1),0),4),0)</f>
        <v>Westbahnhof</v>
      </c>
      <c r="I25" s="8">
        <v>6</v>
      </c>
      <c r="J25" s="8" t="str">
        <f t="shared" si="2"/>
        <v>Westbahnhof</v>
      </c>
      <c r="K25" s="8">
        <v>10</v>
      </c>
      <c r="L25" s="8" t="str">
        <f t="shared" si="1"/>
        <v>Spittelau</v>
      </c>
      <c r="M25" s="5">
        <v>8</v>
      </c>
      <c r="N25" s="6">
        <v>0</v>
      </c>
      <c r="O25" s="7">
        <f>0.93+1.06+0.91+0.89+0.82+0.75+0.75+1.04</f>
        <v>7.15</v>
      </c>
      <c r="P25" s="20">
        <v>6</v>
      </c>
      <c r="Q25" s="22">
        <v>2</v>
      </c>
      <c r="R25" s="21"/>
    </row>
    <row r="26" spans="1:18" x14ac:dyDescent="0.3">
      <c r="B26" s="12"/>
      <c r="C26" s="11"/>
      <c r="D26" s="31" t="s">
        <v>29</v>
      </c>
      <c r="E26" s="31"/>
      <c r="F26" s="30">
        <v>1</v>
      </c>
      <c r="G26" s="3">
        <f t="array" ref="G26">_xlfn.IFNA(INDEX(I9:P47,MATCH(1,(H26=J9:J46)*(H25=L9:L46),0),8),0)</f>
        <v>0</v>
      </c>
      <c r="H26" s="3">
        <f t="array" ref="H26">IFERROR(INDEX($I$5:$N$42,MATCH(1,($J$5:$J$42=H25) * ($N$5:$N$42=1),0),4),0)</f>
        <v>0</v>
      </c>
      <c r="I26" s="8">
        <v>7</v>
      </c>
      <c r="J26" s="8" t="str">
        <f t="shared" si="2"/>
        <v>Schwedenplatz</v>
      </c>
      <c r="K26" s="8">
        <v>4</v>
      </c>
      <c r="L26" s="8" t="str">
        <f t="shared" si="1"/>
        <v>Stephensplatz</v>
      </c>
      <c r="M26" s="5">
        <v>1</v>
      </c>
      <c r="N26" s="6">
        <v>1</v>
      </c>
      <c r="O26" s="7">
        <f>O17</f>
        <v>0.91</v>
      </c>
      <c r="P26" s="20">
        <v>1</v>
      </c>
      <c r="Q26" s="22">
        <v>1</v>
      </c>
      <c r="R26" s="21"/>
    </row>
    <row r="27" spans="1:18" x14ac:dyDescent="0.3">
      <c r="B27" s="12"/>
      <c r="C27" s="11"/>
      <c r="D27" s="32">
        <f>SUMPRODUCT(N5:N42,R5:R42)</f>
        <v>2</v>
      </c>
      <c r="E27" s="32"/>
      <c r="F27" s="30"/>
      <c r="G27" s="3">
        <f t="shared" ref="G27:G35" si="3">_xlfn.IFNA(INDEX(I10:P48,MATCH(1,(H27=J10:J47)*(H26=L10:L47),0),8),0)</f>
        <v>0</v>
      </c>
      <c r="H27" s="3">
        <f t="array" ref="H27">IFERROR(INDEX($I$5:$N$42,MATCH(1,($J$5:$J$42=H26) * ($N$5:$N$42=1),0),4),0)</f>
        <v>0</v>
      </c>
      <c r="I27" s="8">
        <v>7</v>
      </c>
      <c r="J27" s="8" t="str">
        <f t="shared" si="2"/>
        <v>Schwedenplatz</v>
      </c>
      <c r="K27" s="8">
        <v>9</v>
      </c>
      <c r="L27" s="8" t="str">
        <f t="shared" si="1"/>
        <v>Schottenring</v>
      </c>
      <c r="M27" s="5">
        <v>1</v>
      </c>
      <c r="N27" s="6">
        <v>0</v>
      </c>
      <c r="O27" s="7">
        <f>1.04</f>
        <v>1.04</v>
      </c>
      <c r="P27" s="20">
        <v>4</v>
      </c>
      <c r="Q27" s="22">
        <v>0</v>
      </c>
      <c r="R27" s="22">
        <v>3</v>
      </c>
    </row>
    <row r="28" spans="1:18" x14ac:dyDescent="0.3">
      <c r="F28" s="28"/>
      <c r="G28" s="3">
        <f t="shared" si="3"/>
        <v>0</v>
      </c>
      <c r="H28" s="3">
        <f t="array" ref="H28">IFERROR(INDEX($I$5:$N$42,MATCH(1,($J$5:$J$42=H27) * ($N$5:$N$42=1),0),4),0)</f>
        <v>0</v>
      </c>
      <c r="I28" s="8">
        <v>7</v>
      </c>
      <c r="J28" s="8" t="str">
        <f t="shared" si="2"/>
        <v>Schwedenplatz</v>
      </c>
      <c r="K28" s="8">
        <v>3</v>
      </c>
      <c r="L28" s="8" t="str">
        <f t="shared" si="1"/>
        <v>LandstraBe</v>
      </c>
      <c r="M28" s="5">
        <v>1</v>
      </c>
      <c r="N28" s="6">
        <v>0</v>
      </c>
      <c r="O28" s="7">
        <f>O14</f>
        <v>0.86</v>
      </c>
      <c r="P28" s="20">
        <v>4</v>
      </c>
      <c r="Q28" s="22">
        <v>1</v>
      </c>
      <c r="R28" s="22">
        <v>2</v>
      </c>
    </row>
    <row r="29" spans="1:18" x14ac:dyDescent="0.3">
      <c r="B29" s="12"/>
      <c r="C29" s="11"/>
      <c r="D29" s="31" t="s">
        <v>30</v>
      </c>
      <c r="E29" s="31"/>
      <c r="F29" s="30">
        <v>1</v>
      </c>
      <c r="G29" s="3">
        <f t="shared" si="3"/>
        <v>0</v>
      </c>
      <c r="H29" s="3">
        <f t="array" ref="H29">IFERROR(INDEX($I$5:$N$42,MATCH(1,($J$5:$J$42=H28) * ($N$5:$N$42=1),0),4),0)</f>
        <v>0</v>
      </c>
      <c r="I29" s="8">
        <v>7</v>
      </c>
      <c r="J29" s="8" t="str">
        <f t="shared" si="2"/>
        <v>Schwedenplatz</v>
      </c>
      <c r="K29" s="8">
        <v>8</v>
      </c>
      <c r="L29" s="8" t="str">
        <f t="shared" si="1"/>
        <v>Praterstern</v>
      </c>
      <c r="M29" s="5">
        <v>2</v>
      </c>
      <c r="N29" s="6">
        <v>0</v>
      </c>
      <c r="O29" s="7">
        <f>0.93+0.99</f>
        <v>1.92</v>
      </c>
      <c r="P29" s="20">
        <v>1</v>
      </c>
      <c r="Q29" s="22">
        <v>2</v>
      </c>
      <c r="R29" s="21"/>
    </row>
    <row r="30" spans="1:18" x14ac:dyDescent="0.3">
      <c r="B30" s="12"/>
      <c r="C30" s="11"/>
      <c r="D30" s="32">
        <f>SUMPRODUCT(N5:N42,Q5:Q42)</f>
        <v>7</v>
      </c>
      <c r="E30" s="32"/>
      <c r="F30" s="30"/>
      <c r="G30" s="3">
        <f t="shared" si="3"/>
        <v>0</v>
      </c>
      <c r="H30" s="3">
        <f t="array" ref="H30">IFERROR(INDEX($I$5:$N$42,MATCH(1,($J$5:$J$42=H29) * ($N$5:$N$42=1),0),4),0)</f>
        <v>0</v>
      </c>
      <c r="I30" s="8">
        <v>8</v>
      </c>
      <c r="J30" s="8" t="str">
        <f t="shared" si="2"/>
        <v>Praterstern</v>
      </c>
      <c r="K30" s="8">
        <v>7</v>
      </c>
      <c r="L30" s="8" t="str">
        <f t="shared" si="1"/>
        <v>Schwedenplatz</v>
      </c>
      <c r="M30" s="5">
        <v>2</v>
      </c>
      <c r="N30" s="6">
        <v>1</v>
      </c>
      <c r="O30" s="7">
        <f>O29</f>
        <v>1.92</v>
      </c>
      <c r="P30" s="20">
        <v>1</v>
      </c>
      <c r="Q30" s="22">
        <v>2</v>
      </c>
      <c r="R30" s="21"/>
    </row>
    <row r="31" spans="1:18" x14ac:dyDescent="0.3">
      <c r="G31" s="3">
        <f t="shared" si="3"/>
        <v>0</v>
      </c>
      <c r="H31" s="3">
        <f t="array" ref="H31">IFERROR(INDEX($I$5:$N$42,MATCH(1,($J$5:$J$42=H30) * ($N$5:$N$42=1),0),4),0)</f>
        <v>0</v>
      </c>
      <c r="I31" s="8">
        <v>8</v>
      </c>
      <c r="J31" s="8" t="str">
        <f t="shared" si="2"/>
        <v>Praterstern</v>
      </c>
      <c r="K31" s="8">
        <v>9</v>
      </c>
      <c r="L31" s="8" t="str">
        <f t="shared" si="1"/>
        <v>Schottenring</v>
      </c>
      <c r="M31" s="5">
        <v>2</v>
      </c>
      <c r="N31" s="6">
        <v>0</v>
      </c>
      <c r="O31" s="7">
        <f>1.16+1.08</f>
        <v>2.2400000000000002</v>
      </c>
      <c r="P31" s="20">
        <v>2</v>
      </c>
      <c r="Q31" s="22">
        <v>2</v>
      </c>
      <c r="R31" s="21"/>
    </row>
    <row r="32" spans="1:18" x14ac:dyDescent="0.3">
      <c r="A32" s="29"/>
      <c r="B32" s="12"/>
      <c r="C32" s="11"/>
      <c r="D32" s="31" t="s">
        <v>34</v>
      </c>
      <c r="E32" s="31"/>
      <c r="G32" s="3">
        <f t="shared" si="3"/>
        <v>0</v>
      </c>
      <c r="H32" s="3">
        <f t="array" ref="H32">IFERROR(INDEX($I$5:$N$42,MATCH(1,($J$5:$J$42=H31) * ($N$5:$N$42=1),0),4),0)</f>
        <v>0</v>
      </c>
      <c r="I32" s="8">
        <v>8</v>
      </c>
      <c r="J32" s="8" t="str">
        <f t="shared" si="2"/>
        <v>Praterstern</v>
      </c>
      <c r="K32" s="8">
        <v>13</v>
      </c>
      <c r="L32" s="8" t="str">
        <f t="shared" si="1"/>
        <v>Kragan</v>
      </c>
      <c r="M32" s="5">
        <v>5</v>
      </c>
      <c r="N32" s="6">
        <v>0</v>
      </c>
      <c r="O32" s="7">
        <f>1.19+1.12+0.86+1.33+1.11</f>
        <v>5.61</v>
      </c>
      <c r="P32" s="20">
        <v>1</v>
      </c>
      <c r="Q32" s="22">
        <v>1</v>
      </c>
      <c r="R32" s="21"/>
    </row>
    <row r="33" spans="1:18" x14ac:dyDescent="0.3">
      <c r="A33" s="29"/>
      <c r="B33" s="12"/>
      <c r="C33" s="11"/>
      <c r="D33" s="32">
        <f>((F20*D21)/M43)+((F23*D24)/O43)+((F26*D27)/R43)+((F29*D30)/Q43)</f>
        <v>12.743613550052196</v>
      </c>
      <c r="E33" s="32"/>
      <c r="G33" s="3">
        <f t="shared" si="3"/>
        <v>0</v>
      </c>
      <c r="H33" s="3">
        <f t="array" ref="H33">IFERROR(INDEX($I$5:$N$42,MATCH(1,($J$5:$J$42=H32) * ($N$5:$N$42=1),0),4),0)</f>
        <v>0</v>
      </c>
      <c r="I33" s="8">
        <v>9</v>
      </c>
      <c r="J33" s="8" t="str">
        <f t="shared" si="2"/>
        <v>Schottenring</v>
      </c>
      <c r="K33" s="8">
        <v>7</v>
      </c>
      <c r="L33" s="8" t="str">
        <f t="shared" si="1"/>
        <v>Schwedenplatz</v>
      </c>
      <c r="M33" s="5">
        <v>1</v>
      </c>
      <c r="N33" s="6">
        <v>0</v>
      </c>
      <c r="O33" s="7">
        <f>O27</f>
        <v>1.04</v>
      </c>
      <c r="P33" s="20">
        <v>4</v>
      </c>
      <c r="Q33" s="22">
        <v>2</v>
      </c>
      <c r="R33" s="22">
        <v>2</v>
      </c>
    </row>
    <row r="34" spans="1:18" x14ac:dyDescent="0.3">
      <c r="G34" s="3">
        <f t="shared" si="3"/>
        <v>0</v>
      </c>
      <c r="H34" s="3">
        <f t="array" ref="H34">IFERROR(INDEX($I$5:$N$42,MATCH(1,($J$5:$J$42=H33) * ($N$5:$N$42=1),0),4),0)</f>
        <v>0</v>
      </c>
      <c r="I34" s="8">
        <v>9</v>
      </c>
      <c r="J34" s="8" t="str">
        <f t="shared" si="2"/>
        <v>Schottenring</v>
      </c>
      <c r="K34" s="8">
        <v>5</v>
      </c>
      <c r="L34" s="8" t="str">
        <f t="shared" si="1"/>
        <v>Volkstheeter</v>
      </c>
      <c r="M34" s="5">
        <v>3</v>
      </c>
      <c r="N34" s="6">
        <v>0</v>
      </c>
      <c r="O34" s="7">
        <f>O22</f>
        <v>3.17</v>
      </c>
      <c r="P34" s="20">
        <v>2</v>
      </c>
      <c r="Q34" s="22">
        <v>3</v>
      </c>
      <c r="R34" s="21"/>
    </row>
    <row r="35" spans="1:18" x14ac:dyDescent="0.3">
      <c r="G35" s="3">
        <f t="shared" si="3"/>
        <v>0</v>
      </c>
      <c r="H35" s="3">
        <f t="array" ref="H35">IFERROR(INDEX($I$5:$N$42,MATCH(1,($J$5:$J$42=H34) * ($N$5:$N$42=1),0),4),0)</f>
        <v>0</v>
      </c>
      <c r="I35" s="8">
        <v>9</v>
      </c>
      <c r="J35" s="8" t="str">
        <f t="shared" si="2"/>
        <v>Schottenring</v>
      </c>
      <c r="K35" s="8">
        <v>11</v>
      </c>
      <c r="L35" s="8" t="str">
        <f t="shared" si="1"/>
        <v>RoBauer Lande</v>
      </c>
      <c r="M35" s="5">
        <v>1</v>
      </c>
      <c r="N35" s="6">
        <v>0</v>
      </c>
      <c r="O35" s="7">
        <f>1.13</f>
        <v>1.1299999999999999</v>
      </c>
      <c r="P35" s="20">
        <v>4</v>
      </c>
      <c r="Q35" s="22">
        <v>0</v>
      </c>
      <c r="R35" s="22">
        <v>2</v>
      </c>
    </row>
    <row r="36" spans="1:18" x14ac:dyDescent="0.3">
      <c r="H36" s="3">
        <f t="array" ref="H36">IFERROR(INDEX($I$5:$N$42,MATCH(1,($J$5:$J$42=H35) * ($N$5:$N$42=1),0),4),0)</f>
        <v>0</v>
      </c>
      <c r="I36" s="8">
        <v>9</v>
      </c>
      <c r="J36" s="8" t="str">
        <f t="shared" si="2"/>
        <v>Schottenring</v>
      </c>
      <c r="K36" s="8">
        <v>8</v>
      </c>
      <c r="L36" s="8" t="str">
        <f t="shared" si="1"/>
        <v>Praterstern</v>
      </c>
      <c r="M36" s="5">
        <v>2</v>
      </c>
      <c r="N36" s="6">
        <v>0</v>
      </c>
      <c r="O36" s="7">
        <f>O31</f>
        <v>2.2400000000000002</v>
      </c>
      <c r="P36" s="20">
        <v>2</v>
      </c>
      <c r="Q36" s="22">
        <v>1</v>
      </c>
      <c r="R36" s="21"/>
    </row>
    <row r="37" spans="1:18" x14ac:dyDescent="0.3">
      <c r="I37" s="8">
        <v>10</v>
      </c>
      <c r="J37" s="8" t="str">
        <f t="shared" si="2"/>
        <v>Spittelau</v>
      </c>
      <c r="K37" s="8">
        <v>6</v>
      </c>
      <c r="L37" s="8" t="str">
        <f t="shared" si="1"/>
        <v>Westbahnhof</v>
      </c>
      <c r="M37" s="5">
        <v>8</v>
      </c>
      <c r="N37" s="6">
        <v>0</v>
      </c>
      <c r="O37" s="7">
        <f>O25</f>
        <v>7.15</v>
      </c>
      <c r="P37" s="20">
        <v>6</v>
      </c>
      <c r="Q37" s="22">
        <v>2</v>
      </c>
      <c r="R37" s="21"/>
    </row>
    <row r="38" spans="1:18" x14ac:dyDescent="0.3">
      <c r="I38" s="8">
        <v>10</v>
      </c>
      <c r="J38" s="8" t="str">
        <f t="shared" si="2"/>
        <v>Spittelau</v>
      </c>
      <c r="K38" s="8">
        <v>11</v>
      </c>
      <c r="L38" s="8" t="str">
        <f t="shared" si="1"/>
        <v>RoBauer Lande</v>
      </c>
      <c r="M38" s="5">
        <v>2</v>
      </c>
      <c r="N38" s="6">
        <v>0</v>
      </c>
      <c r="O38" s="7">
        <f>1.36+0.99</f>
        <v>2.35</v>
      </c>
      <c r="P38" s="20">
        <v>4</v>
      </c>
      <c r="Q38" s="22">
        <v>2</v>
      </c>
      <c r="R38" s="21"/>
    </row>
    <row r="39" spans="1:18" x14ac:dyDescent="0.3">
      <c r="I39" s="8">
        <v>11</v>
      </c>
      <c r="J39" s="8" t="str">
        <f t="shared" si="2"/>
        <v>RoBauer Lande</v>
      </c>
      <c r="K39" s="8">
        <v>10</v>
      </c>
      <c r="L39" s="8" t="str">
        <f t="shared" si="1"/>
        <v>Spittelau</v>
      </c>
      <c r="M39" s="5">
        <v>2</v>
      </c>
      <c r="N39" s="6">
        <v>0</v>
      </c>
      <c r="O39" s="7">
        <f>O38</f>
        <v>2.35</v>
      </c>
      <c r="P39" s="20">
        <v>4</v>
      </c>
      <c r="Q39" s="22">
        <v>0</v>
      </c>
      <c r="R39" s="21"/>
    </row>
    <row r="40" spans="1:18" x14ac:dyDescent="0.3">
      <c r="I40" s="8">
        <v>11</v>
      </c>
      <c r="J40" s="8" t="str">
        <f t="shared" si="2"/>
        <v>RoBauer Lande</v>
      </c>
      <c r="K40" s="8">
        <v>9</v>
      </c>
      <c r="L40" s="8" t="str">
        <f t="shared" si="1"/>
        <v>Schottenring</v>
      </c>
      <c r="M40" s="5">
        <v>1</v>
      </c>
      <c r="N40" s="6">
        <v>0</v>
      </c>
      <c r="O40" s="7">
        <f>O35</f>
        <v>1.1299999999999999</v>
      </c>
      <c r="P40" s="20">
        <v>4</v>
      </c>
      <c r="Q40" s="22">
        <v>2</v>
      </c>
      <c r="R40" s="22">
        <v>2</v>
      </c>
    </row>
    <row r="41" spans="1:18" x14ac:dyDescent="0.3">
      <c r="I41" s="8">
        <v>12</v>
      </c>
      <c r="J41" s="8" t="str">
        <f t="shared" si="2"/>
        <v>Schonbrunn</v>
      </c>
      <c r="K41" s="8">
        <v>1</v>
      </c>
      <c r="L41" s="8" t="str">
        <f t="shared" si="1"/>
        <v>Langenfeldg</v>
      </c>
      <c r="M41" s="5">
        <v>2</v>
      </c>
      <c r="N41" s="6">
        <v>0</v>
      </c>
      <c r="O41" s="7">
        <f>O6</f>
        <v>1.76</v>
      </c>
      <c r="P41" s="20">
        <v>4</v>
      </c>
      <c r="Q41" s="22">
        <v>0</v>
      </c>
      <c r="R41" s="21"/>
    </row>
    <row r="42" spans="1:18" x14ac:dyDescent="0.3">
      <c r="I42" s="8">
        <v>13</v>
      </c>
      <c r="J42" s="8" t="str">
        <f t="shared" si="2"/>
        <v>Kragan</v>
      </c>
      <c r="K42" s="8">
        <v>8</v>
      </c>
      <c r="L42" s="8" t="str">
        <f t="shared" si="1"/>
        <v>Praterstern</v>
      </c>
      <c r="M42" s="5">
        <v>5</v>
      </c>
      <c r="N42" s="6">
        <v>0</v>
      </c>
      <c r="O42" s="7">
        <f>O32</f>
        <v>5.61</v>
      </c>
      <c r="P42" s="20">
        <v>1</v>
      </c>
      <c r="Q42" s="22">
        <v>1</v>
      </c>
      <c r="R42" s="21"/>
    </row>
    <row r="43" spans="1:18" x14ac:dyDescent="0.3">
      <c r="I43" s="30" t="s">
        <v>32</v>
      </c>
      <c r="J43" s="30"/>
      <c r="K43" s="30"/>
      <c r="L43" s="30"/>
      <c r="M43" s="26">
        <f>AVERAGE(M5:M42)</f>
        <v>2.4210526315789473</v>
      </c>
      <c r="N43" s="26" t="s">
        <v>33</v>
      </c>
      <c r="O43" s="26">
        <f t="shared" ref="O43:R43" si="4">AVERAGE(O5:O42)</f>
        <v>2.3821052631578943</v>
      </c>
      <c r="P43" s="26" t="s">
        <v>33</v>
      </c>
      <c r="Q43" s="26">
        <f t="shared" si="4"/>
        <v>1.263157894736842</v>
      </c>
      <c r="R43" s="26">
        <f t="shared" si="4"/>
        <v>2.3076923076923075</v>
      </c>
    </row>
  </sheetData>
  <mergeCells count="25">
    <mergeCell ref="H14:H17"/>
    <mergeCell ref="Q3:Q4"/>
    <mergeCell ref="R3:R4"/>
    <mergeCell ref="P3:P4"/>
    <mergeCell ref="I3:J3"/>
    <mergeCell ref="K3:L3"/>
    <mergeCell ref="M3:M4"/>
    <mergeCell ref="N3:N4"/>
    <mergeCell ref="O3:O4"/>
    <mergeCell ref="D20:E20"/>
    <mergeCell ref="D21:E21"/>
    <mergeCell ref="D24:E24"/>
    <mergeCell ref="D23:E23"/>
    <mergeCell ref="F20:F21"/>
    <mergeCell ref="F23:F24"/>
    <mergeCell ref="A32:A33"/>
    <mergeCell ref="F26:F27"/>
    <mergeCell ref="F29:F30"/>
    <mergeCell ref="I43:L43"/>
    <mergeCell ref="D32:E32"/>
    <mergeCell ref="D33:E33"/>
    <mergeCell ref="D26:E26"/>
    <mergeCell ref="D27:E27"/>
    <mergeCell ref="D30:E30"/>
    <mergeCell ref="D29:E29"/>
  </mergeCells>
  <conditionalFormatting sqref="I5:L42">
    <cfRule type="expression" dxfId="12" priority="15">
      <formula>$N5&gt;0</formula>
    </cfRule>
  </conditionalFormatting>
  <conditionalFormatting sqref="B5:B17">
    <cfRule type="expression" dxfId="11" priority="14">
      <formula>$F5=1</formula>
    </cfRule>
  </conditionalFormatting>
  <conditionalFormatting sqref="A5:A17">
    <cfRule type="expression" dxfId="10" priority="13">
      <formula>$F5=-1</formula>
    </cfRule>
  </conditionalFormatting>
  <conditionalFormatting sqref="H22:H36">
    <cfRule type="cellIs" dxfId="9" priority="10" operator="equal">
      <formula>0</formula>
    </cfRule>
  </conditionalFormatting>
  <conditionalFormatting sqref="H21">
    <cfRule type="notContainsBlanks" dxfId="8" priority="9">
      <formula>LEN(TRIM(H21))&gt;0</formula>
    </cfRule>
  </conditionalFormatting>
  <conditionalFormatting sqref="H22:H36">
    <cfRule type="cellIs" dxfId="7" priority="16" operator="notEqual">
      <formula>0</formula>
    </cfRule>
  </conditionalFormatting>
  <conditionalFormatting sqref="G21:G35">
    <cfRule type="cellIs" dxfId="6" priority="7" operator="equal">
      <formula>1</formula>
    </cfRule>
    <cfRule type="cellIs" dxfId="5" priority="6" operator="equal">
      <formula>2</formula>
    </cfRule>
    <cfRule type="cellIs" dxfId="4" priority="5" operator="equal">
      <formula>3</formula>
    </cfRule>
    <cfRule type="cellIs" dxfId="3" priority="4" operator="equal">
      <formula>4</formula>
    </cfRule>
    <cfRule type="cellIs" dxfId="2" priority="3" operator="equal">
      <formula>6</formula>
    </cfRule>
    <cfRule type="cellIs" dxfId="1" priority="2" operator="equal">
      <formula>0</formula>
    </cfRule>
    <cfRule type="cellIs" dxfId="0" priority="1" operator="notEqual">
      <formula>0</formula>
    </cfRule>
  </conditionalFormatting>
  <pageMargins left="0.7" right="0.7" top="0.75" bottom="0.75" header="0.3" footer="0.3"/>
  <pageSetup orientation="portrait" horizontalDpi="1200" verticalDpi="1200" r:id="rId1"/>
  <ignoredErrors>
    <ignoredError sqref="O11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Preston Seaman</dc:creator>
  <cp:lastModifiedBy>Windows User</cp:lastModifiedBy>
  <dcterms:created xsi:type="dcterms:W3CDTF">2019-05-07T08:24:54Z</dcterms:created>
  <dcterms:modified xsi:type="dcterms:W3CDTF">2019-05-21T08:51:06Z</dcterms:modified>
</cp:coreProperties>
</file>